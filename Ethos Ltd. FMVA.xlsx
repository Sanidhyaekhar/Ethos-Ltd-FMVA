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nidhya Ekhar\Downloads\"/>
    </mc:Choice>
  </mc:AlternateContent>
  <xr:revisionPtr revIDLastSave="0" documentId="13_ncr:1_{8CF34D15-7343-42DE-95B9-D1CFC43FD1FB}" xr6:coauthVersionLast="47" xr6:coauthVersionMax="47" xr10:uidLastSave="{00000000-0000-0000-0000-000000000000}"/>
  <bookViews>
    <workbookView xWindow="-108" yWindow="-108" windowWidth="23256" windowHeight="12456" xr2:uid="{8BB228FF-7B11-4D06-A4F7-812A709AE8DB}"/>
  </bookViews>
  <sheets>
    <sheet name="Assumption" sheetId="10" r:id="rId1"/>
    <sheet name="Valuation" sheetId="17" r:id="rId2"/>
    <sheet name="Scenario Analysis" sheetId="18" r:id="rId3"/>
    <sheet name="BS" sheetId="5" r:id="rId4"/>
    <sheet name="IS" sheetId="6" r:id="rId5"/>
    <sheet name="CF" sheetId="7" r:id="rId6"/>
    <sheet name="Revenue Model" sheetId="9" r:id="rId7"/>
    <sheet name="Cost Model" sheetId="11" r:id="rId8"/>
    <sheet name="Capex Schedule" sheetId="12" r:id="rId9"/>
    <sheet name="WC Schedule" sheetId="16" r:id="rId10"/>
    <sheet name="Lease Schedule " sheetId="14" r:id="rId11"/>
    <sheet name="Debt Schedule " sheetId="15" r:id="rId12"/>
    <sheet name="Notes" sheetId="8" r:id="rId13"/>
    <sheet name="Template " sheetId="1"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18" l="1"/>
  <c r="I9" i="18" s="1"/>
  <c r="J7" i="14"/>
  <c r="B85" i="10"/>
  <c r="B67" i="17" s="1"/>
  <c r="A85" i="10"/>
  <c r="B80" i="10"/>
  <c r="B63" i="17" s="1"/>
  <c r="G41" i="18"/>
  <c r="B78" i="10"/>
  <c r="B46" i="17" s="1"/>
  <c r="B77" i="10"/>
  <c r="B39" i="17" s="1"/>
  <c r="A78" i="10"/>
  <c r="H12" i="10"/>
  <c r="I12" i="10"/>
  <c r="J12" i="10"/>
  <c r="G12" i="10"/>
  <c r="H11" i="10"/>
  <c r="I11" i="10"/>
  <c r="J11" i="10"/>
  <c r="G11" i="10"/>
  <c r="H10" i="10"/>
  <c r="I10" i="10"/>
  <c r="J10" i="10"/>
  <c r="G10" i="10"/>
  <c r="G10" i="18"/>
  <c r="G9" i="10"/>
  <c r="G12" i="9" s="1"/>
  <c r="F13" i="9" s="1"/>
  <c r="F22" i="12" s="1"/>
  <c r="F37" i="10" s="1"/>
  <c r="H10" i="18"/>
  <c r="I10" i="18" s="1"/>
  <c r="J10" i="18" s="1"/>
  <c r="J55" i="17"/>
  <c r="I55" i="17"/>
  <c r="H55" i="17"/>
  <c r="A80" i="10"/>
  <c r="A60" i="17"/>
  <c r="A59" i="17"/>
  <c r="A57" i="17"/>
  <c r="A56" i="17"/>
  <c r="A77" i="10"/>
  <c r="B34" i="17"/>
  <c r="A34" i="17"/>
  <c r="H45" i="7"/>
  <c r="I45" i="7"/>
  <c r="J45" i="7"/>
  <c r="G45" i="7"/>
  <c r="H41" i="7"/>
  <c r="I41" i="7"/>
  <c r="J41" i="7"/>
  <c r="G41" i="7"/>
  <c r="H35" i="7"/>
  <c r="I35" i="7"/>
  <c r="J35" i="7"/>
  <c r="G35" i="7"/>
  <c r="H34" i="7"/>
  <c r="I34" i="7"/>
  <c r="J34" i="7"/>
  <c r="G34" i="7"/>
  <c r="H32" i="7"/>
  <c r="I32" i="7"/>
  <c r="J32" i="7"/>
  <c r="G32" i="7"/>
  <c r="H29" i="7"/>
  <c r="I29" i="7"/>
  <c r="J29" i="7"/>
  <c r="G29" i="7"/>
  <c r="H28" i="7"/>
  <c r="I28" i="7"/>
  <c r="J28" i="7"/>
  <c r="G28" i="7"/>
  <c r="H27" i="7"/>
  <c r="I27" i="7"/>
  <c r="J27" i="7"/>
  <c r="G27" i="7"/>
  <c r="H12" i="7"/>
  <c r="I12" i="7"/>
  <c r="J12" i="7"/>
  <c r="G12" i="7"/>
  <c r="E60" i="7"/>
  <c r="E62" i="7" s="1"/>
  <c r="C60" i="7"/>
  <c r="C62" i="7" s="1"/>
  <c r="F58" i="7"/>
  <c r="E58" i="7"/>
  <c r="D58" i="7"/>
  <c r="C58" i="7"/>
  <c r="F46" i="7"/>
  <c r="E46" i="7"/>
  <c r="D46" i="7"/>
  <c r="C46" i="7"/>
  <c r="F25" i="7"/>
  <c r="F36" i="7" s="1"/>
  <c r="F38" i="7" s="1"/>
  <c r="F60" i="7" s="1"/>
  <c r="F62" i="7" s="1"/>
  <c r="G61" i="7" s="1"/>
  <c r="E25" i="7"/>
  <c r="E36" i="7" s="1"/>
  <c r="E38" i="7" s="1"/>
  <c r="D25" i="7"/>
  <c r="D36" i="7" s="1"/>
  <c r="D38" i="7" s="1"/>
  <c r="D60" i="7" s="1"/>
  <c r="D62" i="7" s="1"/>
  <c r="C25" i="7"/>
  <c r="C36" i="7" s="1"/>
  <c r="C38" i="7" s="1"/>
  <c r="F51" i="5"/>
  <c r="E51" i="5"/>
  <c r="D51" i="5"/>
  <c r="C51" i="5"/>
  <c r="H44" i="5"/>
  <c r="I44" i="5"/>
  <c r="J44" i="5"/>
  <c r="G44" i="5"/>
  <c r="F42" i="5"/>
  <c r="E42" i="5"/>
  <c r="D42" i="5"/>
  <c r="C42" i="5"/>
  <c r="H38" i="5"/>
  <c r="I38" i="5"/>
  <c r="J38" i="5"/>
  <c r="G38" i="5"/>
  <c r="F35" i="5"/>
  <c r="E35" i="5"/>
  <c r="D35" i="5"/>
  <c r="C35" i="5"/>
  <c r="F27" i="5"/>
  <c r="E27" i="5"/>
  <c r="D27" i="5"/>
  <c r="C27" i="5"/>
  <c r="D18" i="5"/>
  <c r="E18" i="5"/>
  <c r="E29" i="5" s="1"/>
  <c r="F18" i="5"/>
  <c r="C18" i="5"/>
  <c r="C29" i="5" s="1"/>
  <c r="H7" i="5"/>
  <c r="I7" i="5"/>
  <c r="J7" i="5"/>
  <c r="G7" i="5"/>
  <c r="H21" i="16"/>
  <c r="H20" i="16" s="1"/>
  <c r="I21" i="16"/>
  <c r="I20" i="16" s="1"/>
  <c r="J21" i="16"/>
  <c r="J20" i="16" s="1"/>
  <c r="G21" i="16"/>
  <c r="G20" i="16" s="1"/>
  <c r="A73" i="10"/>
  <c r="F18" i="16"/>
  <c r="E18" i="16"/>
  <c r="D18" i="16"/>
  <c r="C18" i="16"/>
  <c r="A18" i="16"/>
  <c r="H15" i="16"/>
  <c r="H14" i="16" s="1"/>
  <c r="I15" i="16"/>
  <c r="I14" i="16" s="1"/>
  <c r="J15" i="16"/>
  <c r="J14" i="16" s="1"/>
  <c r="G15" i="16"/>
  <c r="G14" i="16" s="1"/>
  <c r="A72" i="10"/>
  <c r="F13" i="16"/>
  <c r="E13" i="16"/>
  <c r="D13" i="16"/>
  <c r="C13" i="16"/>
  <c r="A13" i="16"/>
  <c r="H10" i="16"/>
  <c r="H9" i="16" s="1"/>
  <c r="I10" i="16"/>
  <c r="I9" i="16" s="1"/>
  <c r="J10" i="16"/>
  <c r="J9" i="16" s="1"/>
  <c r="G10" i="16"/>
  <c r="G9" i="16" s="1"/>
  <c r="A71" i="10"/>
  <c r="F8" i="16"/>
  <c r="E8" i="16"/>
  <c r="D8" i="16"/>
  <c r="C8" i="16"/>
  <c r="A8" i="16"/>
  <c r="F5" i="16"/>
  <c r="F9" i="16" s="1"/>
  <c r="E5" i="16"/>
  <c r="D5" i="16"/>
  <c r="C5" i="16"/>
  <c r="F4" i="16"/>
  <c r="E4" i="16"/>
  <c r="D4" i="16"/>
  <c r="C4" i="16"/>
  <c r="A5" i="16"/>
  <c r="A4" i="16"/>
  <c r="D63" i="10"/>
  <c r="E63" i="10"/>
  <c r="F63" i="10"/>
  <c r="C63" i="10"/>
  <c r="F21" i="6"/>
  <c r="E21" i="6"/>
  <c r="D21" i="6"/>
  <c r="C21" i="6"/>
  <c r="H39" i="11"/>
  <c r="H20" i="6" s="1"/>
  <c r="I39" i="11"/>
  <c r="I20" i="6" s="1"/>
  <c r="J39" i="11"/>
  <c r="J20" i="6" s="1"/>
  <c r="G39" i="11"/>
  <c r="G20" i="6" s="1"/>
  <c r="F31" i="10"/>
  <c r="E31" i="10"/>
  <c r="D31" i="10"/>
  <c r="C31" i="10"/>
  <c r="A31" i="10"/>
  <c r="F39" i="11"/>
  <c r="E39" i="11"/>
  <c r="D39" i="11"/>
  <c r="C39" i="11"/>
  <c r="A39" i="11"/>
  <c r="F29" i="10"/>
  <c r="E29" i="10"/>
  <c r="D29" i="10"/>
  <c r="C29" i="10"/>
  <c r="A29" i="10"/>
  <c r="D35" i="11"/>
  <c r="E35" i="11"/>
  <c r="F35" i="11"/>
  <c r="C35" i="11"/>
  <c r="F36" i="11"/>
  <c r="E36" i="11"/>
  <c r="D36" i="11"/>
  <c r="C36" i="11"/>
  <c r="A36" i="11"/>
  <c r="G17" i="15"/>
  <c r="H17" i="15"/>
  <c r="I17" i="15"/>
  <c r="J17" i="15"/>
  <c r="H23" i="15"/>
  <c r="H6" i="15" s="1"/>
  <c r="I23" i="15"/>
  <c r="I6" i="15" s="1"/>
  <c r="J23" i="15"/>
  <c r="J6" i="15" s="1"/>
  <c r="G23" i="15"/>
  <c r="G6" i="15" s="1"/>
  <c r="A68" i="10"/>
  <c r="D19" i="15"/>
  <c r="E19" i="15"/>
  <c r="F19" i="15"/>
  <c r="D18" i="15"/>
  <c r="E18" i="15"/>
  <c r="F18" i="15"/>
  <c r="C19" i="15"/>
  <c r="A19" i="15"/>
  <c r="C18" i="15"/>
  <c r="A18" i="15"/>
  <c r="F17" i="15"/>
  <c r="D16" i="15"/>
  <c r="E16" i="15"/>
  <c r="C16" i="15"/>
  <c r="A16" i="15"/>
  <c r="A15" i="15"/>
  <c r="E15" i="15"/>
  <c r="D15" i="15"/>
  <c r="C15" i="15"/>
  <c r="H35" i="14"/>
  <c r="I35" i="14"/>
  <c r="J35" i="14"/>
  <c r="G35" i="14"/>
  <c r="G26" i="14" s="1"/>
  <c r="G7" i="15" s="1"/>
  <c r="F64" i="10"/>
  <c r="E64" i="10"/>
  <c r="D64" i="10"/>
  <c r="C64" i="10"/>
  <c r="A64" i="10"/>
  <c r="E36" i="14"/>
  <c r="D36" i="14"/>
  <c r="C36" i="14"/>
  <c r="F36" i="14"/>
  <c r="F26" i="14"/>
  <c r="F35" i="14"/>
  <c r="E35" i="14"/>
  <c r="D35" i="14"/>
  <c r="C35" i="14"/>
  <c r="F34" i="14"/>
  <c r="E34" i="14"/>
  <c r="D34" i="14"/>
  <c r="C34" i="14"/>
  <c r="D27" i="14"/>
  <c r="E27" i="14"/>
  <c r="F27" i="14"/>
  <c r="C27" i="14"/>
  <c r="H17" i="14"/>
  <c r="H36" i="14" s="1"/>
  <c r="I17" i="14"/>
  <c r="I36" i="14" s="1"/>
  <c r="J17" i="14"/>
  <c r="J36" i="14" s="1"/>
  <c r="G17" i="14"/>
  <c r="G9" i="14" s="1"/>
  <c r="H59" i="10"/>
  <c r="I59" i="10" s="1"/>
  <c r="J59" i="10" s="1"/>
  <c r="E60" i="10"/>
  <c r="D60" i="10"/>
  <c r="C60" i="10"/>
  <c r="A60" i="10"/>
  <c r="F17" i="14"/>
  <c r="F60" i="10" s="1"/>
  <c r="E17" i="14"/>
  <c r="D17" i="14"/>
  <c r="C17" i="14"/>
  <c r="G6" i="14"/>
  <c r="G15" i="14"/>
  <c r="A59" i="10"/>
  <c r="J13" i="14"/>
  <c r="E13" i="14"/>
  <c r="D13" i="14"/>
  <c r="D15" i="14" s="1"/>
  <c r="D59" i="10" s="1"/>
  <c r="C13" i="14"/>
  <c r="C15" i="14" s="1"/>
  <c r="C59" i="10" s="1"/>
  <c r="A13" i="14"/>
  <c r="F12" i="14"/>
  <c r="E12" i="14"/>
  <c r="D12" i="14"/>
  <c r="C12" i="14"/>
  <c r="H121" i="12"/>
  <c r="H124" i="12" s="1"/>
  <c r="I121" i="12" s="1"/>
  <c r="I124" i="12" s="1"/>
  <c r="J121" i="12" s="1"/>
  <c r="J124" i="12" s="1"/>
  <c r="G124" i="12"/>
  <c r="D116" i="12"/>
  <c r="E116" i="12"/>
  <c r="F116" i="12"/>
  <c r="D117" i="12"/>
  <c r="E117" i="12"/>
  <c r="F117" i="12"/>
  <c r="D118" i="12"/>
  <c r="E118" i="12"/>
  <c r="F118" i="12"/>
  <c r="C118" i="12"/>
  <c r="C117" i="12"/>
  <c r="C116" i="12"/>
  <c r="G110" i="12"/>
  <c r="H110" i="12"/>
  <c r="I110" i="12"/>
  <c r="J110" i="12"/>
  <c r="G108" i="12"/>
  <c r="G104" i="12"/>
  <c r="H104" i="12"/>
  <c r="I104" i="12"/>
  <c r="J104" i="12"/>
  <c r="G102" i="12"/>
  <c r="H95" i="12"/>
  <c r="I95" i="12"/>
  <c r="J95" i="12"/>
  <c r="G95" i="12"/>
  <c r="G89" i="12" s="1"/>
  <c r="G91" i="12" s="1"/>
  <c r="A54" i="10"/>
  <c r="A53" i="10"/>
  <c r="D99" i="12"/>
  <c r="D54" i="10" s="1"/>
  <c r="E99" i="12"/>
  <c r="E54" i="10" s="1"/>
  <c r="C99" i="12"/>
  <c r="C54" i="10" s="1"/>
  <c r="H56" i="12"/>
  <c r="I56" i="12"/>
  <c r="J56" i="12"/>
  <c r="G56" i="12"/>
  <c r="G49" i="12" s="1"/>
  <c r="G52" i="12" s="1"/>
  <c r="H60" i="12"/>
  <c r="I60" i="12"/>
  <c r="J60" i="12"/>
  <c r="J43" i="12" s="1"/>
  <c r="G60" i="12"/>
  <c r="A45" i="10"/>
  <c r="A44" i="10"/>
  <c r="D60" i="12"/>
  <c r="D45" i="10" s="1"/>
  <c r="E60" i="12"/>
  <c r="E45" i="10" s="1"/>
  <c r="C60" i="12"/>
  <c r="C45" i="10" s="1"/>
  <c r="H26" i="12"/>
  <c r="I26" i="12"/>
  <c r="J26" i="12"/>
  <c r="G26" i="12"/>
  <c r="F40" i="10"/>
  <c r="E40" i="10"/>
  <c r="D40" i="10"/>
  <c r="C40" i="10"/>
  <c r="A40" i="10"/>
  <c r="H37" i="12"/>
  <c r="I37" i="12"/>
  <c r="J37" i="12"/>
  <c r="G37" i="12"/>
  <c r="G31" i="12" s="1"/>
  <c r="G33" i="12" s="1"/>
  <c r="A41" i="10"/>
  <c r="H18" i="12"/>
  <c r="I18" i="12"/>
  <c r="J18" i="12"/>
  <c r="G18" i="12"/>
  <c r="G12" i="12" s="1"/>
  <c r="G14" i="12" s="1"/>
  <c r="H22" i="12"/>
  <c r="I22" i="12"/>
  <c r="J22" i="12"/>
  <c r="J7" i="12" s="1"/>
  <c r="G22" i="12"/>
  <c r="A37" i="10"/>
  <c r="A36" i="10"/>
  <c r="D22" i="12"/>
  <c r="D37" i="10" s="1"/>
  <c r="E22" i="12"/>
  <c r="E37" i="10" s="1"/>
  <c r="C22" i="12"/>
  <c r="C37" i="10" s="1"/>
  <c r="C9" i="10"/>
  <c r="H75" i="12"/>
  <c r="I75" i="12"/>
  <c r="J75" i="12"/>
  <c r="G75" i="12"/>
  <c r="G69" i="12" s="1"/>
  <c r="G71" i="12" s="1"/>
  <c r="A48" i="10"/>
  <c r="A49" i="10"/>
  <c r="F79" i="12"/>
  <c r="F49" i="10" s="1"/>
  <c r="E79" i="12"/>
  <c r="E49" i="10" s="1"/>
  <c r="D79" i="12"/>
  <c r="D49" i="10" s="1"/>
  <c r="C79" i="12"/>
  <c r="C49" i="10" s="1"/>
  <c r="F97" i="12"/>
  <c r="E97" i="12"/>
  <c r="D97" i="12"/>
  <c r="C97" i="12"/>
  <c r="F96" i="12"/>
  <c r="E96" i="12"/>
  <c r="D96" i="12"/>
  <c r="C96" i="12"/>
  <c r="F95" i="12"/>
  <c r="F53" i="10" s="1"/>
  <c r="E95" i="12"/>
  <c r="E53" i="10" s="1"/>
  <c r="D95" i="12"/>
  <c r="D53" i="10" s="1"/>
  <c r="C95" i="12"/>
  <c r="C53" i="10" s="1"/>
  <c r="F77" i="12"/>
  <c r="E77" i="12"/>
  <c r="D77" i="12"/>
  <c r="C77" i="12"/>
  <c r="F76" i="12"/>
  <c r="E76" i="12"/>
  <c r="D76" i="12"/>
  <c r="C76" i="12"/>
  <c r="F75" i="12"/>
  <c r="F48" i="10" s="1"/>
  <c r="E75" i="12"/>
  <c r="E48" i="10" s="1"/>
  <c r="D75" i="12"/>
  <c r="D48" i="10" s="1"/>
  <c r="C75" i="12"/>
  <c r="C48" i="10" s="1"/>
  <c r="F58" i="12"/>
  <c r="E58" i="12"/>
  <c r="D58" i="12"/>
  <c r="F57" i="12"/>
  <c r="E57" i="12"/>
  <c r="D57" i="12"/>
  <c r="F56" i="12"/>
  <c r="F44" i="10" s="1"/>
  <c r="E56" i="12"/>
  <c r="E44" i="10" s="1"/>
  <c r="D56" i="12"/>
  <c r="D44" i="10" s="1"/>
  <c r="C58" i="12"/>
  <c r="C57" i="12"/>
  <c r="C56" i="12"/>
  <c r="C44" i="10" s="1"/>
  <c r="F39" i="12"/>
  <c r="E39" i="12"/>
  <c r="D39" i="12"/>
  <c r="C39" i="12"/>
  <c r="F38" i="12"/>
  <c r="E38" i="12"/>
  <c r="D38" i="12"/>
  <c r="C38" i="12"/>
  <c r="F37" i="12"/>
  <c r="E37" i="12"/>
  <c r="E41" i="10" s="1"/>
  <c r="D37" i="12"/>
  <c r="D41" i="10" s="1"/>
  <c r="C37" i="12"/>
  <c r="C41" i="10" s="1"/>
  <c r="F18" i="12"/>
  <c r="F36" i="10" s="1"/>
  <c r="E18" i="12"/>
  <c r="E36" i="10" s="1"/>
  <c r="D18" i="12"/>
  <c r="D36" i="10" s="1"/>
  <c r="C18" i="12"/>
  <c r="C36" i="10" s="1"/>
  <c r="F20" i="12"/>
  <c r="E20" i="12"/>
  <c r="D20" i="12"/>
  <c r="F19" i="12"/>
  <c r="E19" i="12"/>
  <c r="D19" i="12"/>
  <c r="C20" i="12"/>
  <c r="C19" i="12"/>
  <c r="F11" i="11"/>
  <c r="E11" i="11"/>
  <c r="D11" i="11"/>
  <c r="H31" i="11"/>
  <c r="I31" i="11"/>
  <c r="J31" i="11"/>
  <c r="G31" i="11"/>
  <c r="A27" i="10"/>
  <c r="F32" i="11"/>
  <c r="E32" i="11"/>
  <c r="D32" i="11"/>
  <c r="C32" i="11"/>
  <c r="A32" i="11"/>
  <c r="H27" i="11"/>
  <c r="I27" i="11"/>
  <c r="J27" i="11"/>
  <c r="G27" i="11"/>
  <c r="A25" i="10"/>
  <c r="F28" i="11"/>
  <c r="E28" i="11"/>
  <c r="D28" i="11"/>
  <c r="C28" i="11"/>
  <c r="A28" i="11"/>
  <c r="G7" i="11"/>
  <c r="F5" i="11"/>
  <c r="E5" i="11"/>
  <c r="D5" i="11"/>
  <c r="C5" i="11"/>
  <c r="A5" i="11"/>
  <c r="G17" i="11"/>
  <c r="H17" i="11" s="1"/>
  <c r="I17" i="11" s="1"/>
  <c r="J17" i="11" s="1"/>
  <c r="G19" i="11"/>
  <c r="H19" i="11" s="1"/>
  <c r="I19" i="11" s="1"/>
  <c r="J19" i="11" s="1"/>
  <c r="G18" i="11"/>
  <c r="H18" i="11" s="1"/>
  <c r="I18" i="11" s="1"/>
  <c r="J18" i="11" s="1"/>
  <c r="H22" i="11"/>
  <c r="I22" i="11"/>
  <c r="J22" i="11"/>
  <c r="G22" i="11"/>
  <c r="A20" i="10"/>
  <c r="H13" i="11"/>
  <c r="I13" i="11"/>
  <c r="J13" i="11"/>
  <c r="H14" i="11"/>
  <c r="I14" i="11"/>
  <c r="J14" i="11"/>
  <c r="G14" i="11"/>
  <c r="F19" i="10"/>
  <c r="E19" i="10"/>
  <c r="D19" i="10"/>
  <c r="A19" i="10"/>
  <c r="G13" i="11"/>
  <c r="F18" i="10"/>
  <c r="E18" i="10"/>
  <c r="D18" i="10"/>
  <c r="A18" i="10"/>
  <c r="F24" i="11"/>
  <c r="E24" i="11"/>
  <c r="D24" i="11"/>
  <c r="C24" i="11"/>
  <c r="A24" i="11"/>
  <c r="H7" i="11"/>
  <c r="I7" i="11"/>
  <c r="J7" i="11"/>
  <c r="A16" i="10"/>
  <c r="F8" i="11"/>
  <c r="E8" i="11"/>
  <c r="D8" i="11"/>
  <c r="C8" i="11"/>
  <c r="A8" i="11"/>
  <c r="E6" i="6"/>
  <c r="E10" i="6" s="1"/>
  <c r="E12" i="6" s="1"/>
  <c r="E15" i="6" s="1"/>
  <c r="E17" i="6" s="1"/>
  <c r="E19" i="6" s="1"/>
  <c r="F6" i="6"/>
  <c r="D6" i="6"/>
  <c r="C6" i="6"/>
  <c r="C15" i="9"/>
  <c r="D15" i="9" s="1"/>
  <c r="D13" i="9"/>
  <c r="D17" i="9" s="1"/>
  <c r="E16" i="9" s="1"/>
  <c r="E13" i="9"/>
  <c r="E17" i="9" s="1"/>
  <c r="F16" i="9" s="1"/>
  <c r="F9" i="10"/>
  <c r="F21" i="11" s="1"/>
  <c r="F22" i="11" s="1"/>
  <c r="F20" i="10" s="1"/>
  <c r="E9" i="10"/>
  <c r="E21" i="11" s="1"/>
  <c r="E22" i="11" s="1"/>
  <c r="E20" i="10" s="1"/>
  <c r="D9" i="10"/>
  <c r="D21" i="11" s="1"/>
  <c r="D22" i="11" s="1"/>
  <c r="D20" i="10" s="1"/>
  <c r="A9" i="10"/>
  <c r="A21" i="11" s="1"/>
  <c r="C13" i="9"/>
  <c r="C17" i="9" s="1"/>
  <c r="D16" i="9" s="1"/>
  <c r="J17" i="9"/>
  <c r="F4" i="9"/>
  <c r="E4" i="9"/>
  <c r="D4" i="9"/>
  <c r="C4" i="9"/>
  <c r="A4" i="9"/>
  <c r="J9" i="18" l="1"/>
  <c r="J9" i="10" s="1"/>
  <c r="I9" i="10"/>
  <c r="I21" i="11" s="1"/>
  <c r="I15" i="11" s="1"/>
  <c r="I24" i="11" s="1"/>
  <c r="I7" i="6" s="1"/>
  <c r="D29" i="5"/>
  <c r="D14" i="16"/>
  <c r="D15" i="16" s="1"/>
  <c r="D72" i="10" s="1"/>
  <c r="E9" i="16"/>
  <c r="E10" i="16" s="1"/>
  <c r="E71" i="10" s="1"/>
  <c r="E14" i="16"/>
  <c r="E15" i="16" s="1"/>
  <c r="E72" i="10" s="1"/>
  <c r="F14" i="16"/>
  <c r="D9" i="16"/>
  <c r="D10" i="16" s="1"/>
  <c r="D71" i="10" s="1"/>
  <c r="H9" i="10"/>
  <c r="I29" i="10"/>
  <c r="I35" i="11" s="1"/>
  <c r="G21" i="11"/>
  <c r="G15" i="11" s="1"/>
  <c r="G24" i="11" s="1"/>
  <c r="G7" i="6" s="1"/>
  <c r="C52" i="5"/>
  <c r="C53" i="5" s="1"/>
  <c r="D52" i="5"/>
  <c r="D53" i="5" s="1"/>
  <c r="E52" i="5"/>
  <c r="E53" i="5" s="1"/>
  <c r="F52" i="5"/>
  <c r="F53" i="5" s="1"/>
  <c r="F29" i="5"/>
  <c r="C17" i="15"/>
  <c r="E19" i="16"/>
  <c r="E20" i="16" s="1"/>
  <c r="E20" i="15"/>
  <c r="C20" i="15"/>
  <c r="D19" i="16"/>
  <c r="D20" i="16" s="1"/>
  <c r="E17" i="15"/>
  <c r="F23" i="15" s="1"/>
  <c r="F68" i="10" s="1"/>
  <c r="F19" i="16"/>
  <c r="F20" i="16" s="1"/>
  <c r="D20" i="15"/>
  <c r="D17" i="15"/>
  <c r="F10" i="16"/>
  <c r="F71" i="10" s="1"/>
  <c r="F15" i="16"/>
  <c r="F72" i="10" s="1"/>
  <c r="F20" i="15"/>
  <c r="F21" i="15" s="1"/>
  <c r="J29" i="10"/>
  <c r="J35" i="11" s="1"/>
  <c r="G29" i="10"/>
  <c r="G35" i="11" s="1"/>
  <c r="H29" i="10"/>
  <c r="H35" i="11" s="1"/>
  <c r="G112" i="12"/>
  <c r="G36" i="14"/>
  <c r="G25" i="14" s="1"/>
  <c r="G27" i="14" s="1"/>
  <c r="G55" i="7" s="1"/>
  <c r="G11" i="15"/>
  <c r="G13" i="6" s="1"/>
  <c r="F13" i="14"/>
  <c r="F15" i="14" s="1"/>
  <c r="F59" i="10" s="1"/>
  <c r="E15" i="14"/>
  <c r="E59" i="10" s="1"/>
  <c r="G109" i="12"/>
  <c r="I15" i="14"/>
  <c r="F99" i="12"/>
  <c r="F54" i="10" s="1"/>
  <c r="G54" i="10" s="1"/>
  <c r="G99" i="12" s="1"/>
  <c r="H15" i="14"/>
  <c r="J15" i="14"/>
  <c r="J12" i="14" s="1"/>
  <c r="H88" i="12"/>
  <c r="G96" i="12"/>
  <c r="G57" i="12"/>
  <c r="H48" i="12"/>
  <c r="F60" i="12"/>
  <c r="F45" i="10" s="1"/>
  <c r="G38" i="12"/>
  <c r="H30" i="12"/>
  <c r="H11" i="12"/>
  <c r="G19" i="12"/>
  <c r="G76" i="12"/>
  <c r="H68" i="12"/>
  <c r="E7" i="11"/>
  <c r="D7" i="11"/>
  <c r="D16" i="10" s="1"/>
  <c r="F27" i="11"/>
  <c r="F25" i="10" s="1"/>
  <c r="D31" i="11"/>
  <c r="D27" i="10" s="1"/>
  <c r="C27" i="11"/>
  <c r="C25" i="10" s="1"/>
  <c r="E31" i="11"/>
  <c r="E27" i="10" s="1"/>
  <c r="D27" i="11"/>
  <c r="D25" i="10" s="1"/>
  <c r="F31" i="11"/>
  <c r="F27" i="10" s="1"/>
  <c r="C7" i="11"/>
  <c r="C16" i="10" s="1"/>
  <c r="E27" i="11"/>
  <c r="E25" i="10" s="1"/>
  <c r="C31" i="11"/>
  <c r="C27" i="10" s="1"/>
  <c r="F7" i="11"/>
  <c r="F16" i="10" s="1"/>
  <c r="E16" i="10"/>
  <c r="C10" i="6"/>
  <c r="C12" i="6" s="1"/>
  <c r="C15" i="6" s="1"/>
  <c r="C17" i="6" s="1"/>
  <c r="C19" i="6" s="1"/>
  <c r="D10" i="6"/>
  <c r="D12" i="6" s="1"/>
  <c r="D15" i="6" s="1"/>
  <c r="D17" i="6" s="1"/>
  <c r="D19" i="6" s="1"/>
  <c r="F10" i="6"/>
  <c r="F12" i="6" s="1"/>
  <c r="F15" i="6" s="1"/>
  <c r="F17" i="6" s="1"/>
  <c r="F19" i="6" s="1"/>
  <c r="D5" i="9"/>
  <c r="E5" i="9"/>
  <c r="F5" i="9"/>
  <c r="D9" i="9"/>
  <c r="F17" i="9"/>
  <c r="G16" i="9" s="1"/>
  <c r="F9" i="9"/>
  <c r="E9" i="9"/>
  <c r="E15" i="9"/>
  <c r="F15" i="9" s="1"/>
  <c r="G15" i="9" s="1"/>
  <c r="C9" i="9"/>
  <c r="C26" i="9" s="1"/>
  <c r="C19" i="9" s="1"/>
  <c r="J12" i="9" l="1"/>
  <c r="J21" i="11"/>
  <c r="J15" i="11" s="1"/>
  <c r="J24" i="11" s="1"/>
  <c r="J7" i="6" s="1"/>
  <c r="I12" i="9"/>
  <c r="D21" i="16"/>
  <c r="D73" i="10" s="1"/>
  <c r="H12" i="9"/>
  <c r="G13" i="9" s="1"/>
  <c r="G13" i="14" s="1"/>
  <c r="G12" i="14" s="1"/>
  <c r="H21" i="11"/>
  <c r="H15" i="11" s="1"/>
  <c r="H24" i="11" s="1"/>
  <c r="H7" i="6" s="1"/>
  <c r="C21" i="15"/>
  <c r="E21" i="16"/>
  <c r="E73" i="10" s="1"/>
  <c r="D23" i="15"/>
  <c r="D68" i="10" s="1"/>
  <c r="G10" i="7"/>
  <c r="G57" i="7"/>
  <c r="G58" i="7" s="1"/>
  <c r="F21" i="16"/>
  <c r="F73" i="10" s="1"/>
  <c r="E21" i="15"/>
  <c r="D21" i="15"/>
  <c r="E23" i="15"/>
  <c r="E68" i="10" s="1"/>
  <c r="G117" i="12"/>
  <c r="G11" i="6"/>
  <c r="G7" i="7" s="1"/>
  <c r="J54" i="10"/>
  <c r="J99" i="12" s="1"/>
  <c r="J84" i="12" s="1"/>
  <c r="I54" i="10"/>
  <c r="I99" i="12" s="1"/>
  <c r="H54" i="10"/>
  <c r="H99" i="12" s="1"/>
  <c r="J34" i="14"/>
  <c r="J22" i="14"/>
  <c r="H108" i="12"/>
  <c r="G11" i="11"/>
  <c r="I11" i="11"/>
  <c r="J11" i="11"/>
  <c r="D26" i="9"/>
  <c r="D19" i="9" s="1"/>
  <c r="D7" i="10"/>
  <c r="E26" i="9"/>
  <c r="E19" i="9" s="1"/>
  <c r="E7" i="10"/>
  <c r="F26" i="9"/>
  <c r="G9" i="9"/>
  <c r="F7" i="10"/>
  <c r="H15" i="9"/>
  <c r="F19" i="9"/>
  <c r="G19" i="9" s="1"/>
  <c r="I84" i="12" l="1"/>
  <c r="I13" i="9"/>
  <c r="G43" i="12"/>
  <c r="G46" i="12" s="1"/>
  <c r="G54" i="12" s="1"/>
  <c r="G58" i="12" s="1"/>
  <c r="G7" i="12"/>
  <c r="G9" i="12" s="1"/>
  <c r="H6" i="12" s="1"/>
  <c r="H11" i="11"/>
  <c r="G22" i="14"/>
  <c r="G30" i="14" s="1"/>
  <c r="G31" i="14" s="1"/>
  <c r="G32" i="14" s="1"/>
  <c r="G7" i="14"/>
  <c r="G10" i="14" s="1"/>
  <c r="G17" i="9"/>
  <c r="H16" i="9" s="1"/>
  <c r="I15" i="9" s="1"/>
  <c r="G34" i="14"/>
  <c r="H13" i="9"/>
  <c r="H84" i="12" s="1"/>
  <c r="G84" i="12"/>
  <c r="G86" i="12" s="1"/>
  <c r="H9" i="9"/>
  <c r="I9" i="9" s="1"/>
  <c r="G23" i="9"/>
  <c r="H19" i="9"/>
  <c r="G20" i="9"/>
  <c r="I13" i="14" l="1"/>
  <c r="I12" i="14" s="1"/>
  <c r="I7" i="12"/>
  <c r="I43" i="12"/>
  <c r="I17" i="9"/>
  <c r="J16" i="9" s="1"/>
  <c r="H42" i="12"/>
  <c r="H49" i="12" s="1"/>
  <c r="H52" i="12" s="1"/>
  <c r="I48" i="12" s="1"/>
  <c r="G9" i="5"/>
  <c r="H6" i="14"/>
  <c r="H9" i="14" s="1"/>
  <c r="G20" i="15"/>
  <c r="G21" i="15" s="1"/>
  <c r="H21" i="14"/>
  <c r="H25" i="14" s="1"/>
  <c r="H7" i="12"/>
  <c r="H9" i="12" s="1"/>
  <c r="H17" i="9"/>
  <c r="I16" i="9" s="1"/>
  <c r="J15" i="9" s="1"/>
  <c r="H13" i="14"/>
  <c r="H12" i="14" s="1"/>
  <c r="H7" i="14" s="1"/>
  <c r="H43" i="12"/>
  <c r="G93" i="12"/>
  <c r="G97" i="12" s="1"/>
  <c r="H83" i="12"/>
  <c r="G39" i="5"/>
  <c r="G42" i="5" s="1"/>
  <c r="G18" i="15"/>
  <c r="G45" i="5"/>
  <c r="G19" i="15"/>
  <c r="G16" i="12"/>
  <c r="H12" i="12"/>
  <c r="J9" i="9"/>
  <c r="G24" i="9"/>
  <c r="G21" i="9"/>
  <c r="G25" i="9" s="1"/>
  <c r="I19" i="9"/>
  <c r="H23" i="9"/>
  <c r="H20" i="9"/>
  <c r="I7" i="14" l="1"/>
  <c r="I34" i="14"/>
  <c r="I22" i="14"/>
  <c r="H26" i="14"/>
  <c r="H7" i="15" s="1"/>
  <c r="H11" i="15" s="1"/>
  <c r="H13" i="6" s="1"/>
  <c r="H57" i="7" s="1"/>
  <c r="H59" i="17" s="1"/>
  <c r="H46" i="12"/>
  <c r="I42" i="12" s="1"/>
  <c r="I46" i="12" s="1"/>
  <c r="J42" i="12" s="1"/>
  <c r="H10" i="14"/>
  <c r="H34" i="14"/>
  <c r="H22" i="14"/>
  <c r="H86" i="12"/>
  <c r="H89" i="12"/>
  <c r="H91" i="12" s="1"/>
  <c r="H57" i="12"/>
  <c r="H14" i="12"/>
  <c r="H16" i="12" s="1"/>
  <c r="G20" i="12"/>
  <c r="I6" i="12"/>
  <c r="G26" i="9"/>
  <c r="G4" i="9" s="1"/>
  <c r="G8" i="9" s="1"/>
  <c r="H21" i="9"/>
  <c r="H25" i="9" s="1"/>
  <c r="H24" i="9"/>
  <c r="I23" i="9"/>
  <c r="J19" i="9"/>
  <c r="I20" i="9"/>
  <c r="H27" i="14" l="1"/>
  <c r="H55" i="7" s="1"/>
  <c r="H60" i="17" s="1"/>
  <c r="H10" i="7"/>
  <c r="H54" i="12"/>
  <c r="H58" i="12" s="1"/>
  <c r="I49" i="12"/>
  <c r="I52" i="12" s="1"/>
  <c r="I54" i="12" s="1"/>
  <c r="I58" i="12" s="1"/>
  <c r="I6" i="14"/>
  <c r="I9" i="14" s="1"/>
  <c r="I10" i="14" s="1"/>
  <c r="H9" i="5"/>
  <c r="I83" i="12"/>
  <c r="H93" i="12"/>
  <c r="H97" i="12" s="1"/>
  <c r="H96" i="12"/>
  <c r="I88" i="12"/>
  <c r="I11" i="12"/>
  <c r="H19" i="12"/>
  <c r="I9" i="12"/>
  <c r="H20" i="12"/>
  <c r="J46" i="12"/>
  <c r="J49" i="12"/>
  <c r="I12" i="12"/>
  <c r="G5" i="9"/>
  <c r="G4" i="6"/>
  <c r="H26" i="9"/>
  <c r="H4" i="9" s="1"/>
  <c r="I21" i="9"/>
  <c r="I25" i="9" s="1"/>
  <c r="I24" i="9"/>
  <c r="J20" i="9"/>
  <c r="J23" i="9"/>
  <c r="I57" i="12" l="1"/>
  <c r="H30" i="14"/>
  <c r="J48" i="12"/>
  <c r="I9" i="5"/>
  <c r="J6" i="14"/>
  <c r="J9" i="14" s="1"/>
  <c r="J10" i="14" s="1"/>
  <c r="J9" i="5" s="1"/>
  <c r="I86" i="12"/>
  <c r="I89" i="12"/>
  <c r="I91" i="12" s="1"/>
  <c r="H58" i="7"/>
  <c r="B36" i="17"/>
  <c r="G4" i="16"/>
  <c r="H31" i="14"/>
  <c r="H32" i="14" s="1"/>
  <c r="H20" i="15"/>
  <c r="H21" i="15" s="1"/>
  <c r="I21" i="14"/>
  <c r="J52" i="12"/>
  <c r="J57" i="12" s="1"/>
  <c r="I14" i="12"/>
  <c r="I19" i="12" s="1"/>
  <c r="J6" i="12"/>
  <c r="G5" i="11"/>
  <c r="G8" i="11" s="1"/>
  <c r="G5" i="6" s="1"/>
  <c r="G79" i="12"/>
  <c r="G49" i="10" s="1"/>
  <c r="H49" i="10" s="1"/>
  <c r="H8" i="9"/>
  <c r="H4" i="6"/>
  <c r="H5" i="9"/>
  <c r="I26" i="9"/>
  <c r="I4" i="9" s="1"/>
  <c r="I4" i="6" s="1"/>
  <c r="J21" i="9"/>
  <c r="J25" i="9" s="1"/>
  <c r="J24" i="9"/>
  <c r="I96" i="12" l="1"/>
  <c r="J88" i="12"/>
  <c r="I93" i="12"/>
  <c r="I97" i="12" s="1"/>
  <c r="J83" i="12"/>
  <c r="G28" i="11"/>
  <c r="G8" i="6" s="1"/>
  <c r="I5" i="11"/>
  <c r="I32" i="11" s="1"/>
  <c r="I9" i="6" s="1"/>
  <c r="I4" i="16"/>
  <c r="H5" i="11"/>
  <c r="H28" i="11" s="1"/>
  <c r="H8" i="6" s="1"/>
  <c r="H4" i="16"/>
  <c r="G6" i="6"/>
  <c r="G5" i="16"/>
  <c r="I26" i="14"/>
  <c r="I7" i="15" s="1"/>
  <c r="I11" i="15" s="1"/>
  <c r="I13" i="6" s="1"/>
  <c r="I25" i="14"/>
  <c r="H39" i="5"/>
  <c r="H42" i="5" s="1"/>
  <c r="H18" i="15"/>
  <c r="H45" i="5"/>
  <c r="H19" i="15"/>
  <c r="I16" i="12"/>
  <c r="I20" i="12" s="1"/>
  <c r="J11" i="12"/>
  <c r="J54" i="12"/>
  <c r="J58" i="12" s="1"/>
  <c r="J9" i="12"/>
  <c r="G32" i="11"/>
  <c r="G9" i="6" s="1"/>
  <c r="J12" i="12"/>
  <c r="H79" i="12"/>
  <c r="H63" i="12" s="1"/>
  <c r="I49" i="10"/>
  <c r="J26" i="9"/>
  <c r="J4" i="9" s="1"/>
  <c r="J4" i="6" s="1"/>
  <c r="I5" i="9"/>
  <c r="I8" i="9"/>
  <c r="G8" i="16" l="1"/>
  <c r="G20" i="5" s="1"/>
  <c r="G13" i="16"/>
  <c r="G21" i="5" s="1"/>
  <c r="G31" i="7" s="1"/>
  <c r="J89" i="12"/>
  <c r="J91" i="12" s="1"/>
  <c r="J96" i="12" s="1"/>
  <c r="J86" i="12"/>
  <c r="I8" i="11"/>
  <c r="I5" i="6" s="1"/>
  <c r="I5" i="16" s="1"/>
  <c r="G10" i="6"/>
  <c r="G12" i="6" s="1"/>
  <c r="G15" i="6" s="1"/>
  <c r="G17" i="6" s="1"/>
  <c r="G5" i="7" s="1"/>
  <c r="G25" i="7" s="1"/>
  <c r="H32" i="11"/>
  <c r="H9" i="6" s="1"/>
  <c r="H8" i="11"/>
  <c r="H5" i="6" s="1"/>
  <c r="H5" i="16" s="1"/>
  <c r="I28" i="11"/>
  <c r="I8" i="6" s="1"/>
  <c r="J5" i="11"/>
  <c r="J8" i="11" s="1"/>
  <c r="J5" i="6" s="1"/>
  <c r="B38" i="17"/>
  <c r="B37" i="17" s="1"/>
  <c r="B40" i="17" s="1"/>
  <c r="B41" i="17" s="1"/>
  <c r="J4" i="16"/>
  <c r="I10" i="7"/>
  <c r="I57" i="7"/>
  <c r="I59" i="17" s="1"/>
  <c r="I27" i="14"/>
  <c r="J14" i="12"/>
  <c r="J49" i="10"/>
  <c r="J79" i="12" s="1"/>
  <c r="J63" i="12" s="1"/>
  <c r="I79" i="12"/>
  <c r="I63" i="12" s="1"/>
  <c r="G64" i="12"/>
  <c r="H69" i="12"/>
  <c r="H71" i="12" s="1"/>
  <c r="J8" i="9"/>
  <c r="J5" i="9"/>
  <c r="G19" i="16" l="1"/>
  <c r="G18" i="16" s="1"/>
  <c r="G23" i="16" s="1"/>
  <c r="I8" i="16"/>
  <c r="I13" i="16"/>
  <c r="I21" i="5" s="1"/>
  <c r="H8" i="16"/>
  <c r="H19" i="16" s="1"/>
  <c r="H13" i="16"/>
  <c r="H21" i="5" s="1"/>
  <c r="H31" i="7" s="1"/>
  <c r="J93" i="12"/>
  <c r="J97" i="12" s="1"/>
  <c r="I6" i="6"/>
  <c r="I10" i="6" s="1"/>
  <c r="H6" i="6"/>
  <c r="H10" i="6" s="1"/>
  <c r="G36" i="11"/>
  <c r="G18" i="6" s="1"/>
  <c r="G19" i="6" s="1"/>
  <c r="J28" i="11"/>
  <c r="J8" i="6" s="1"/>
  <c r="J32" i="11"/>
  <c r="J9" i="6" s="1"/>
  <c r="J6" i="6"/>
  <c r="J5" i="16"/>
  <c r="G30" i="7"/>
  <c r="I30" i="14"/>
  <c r="I55" i="7"/>
  <c r="J16" i="12"/>
  <c r="J20" i="12" s="1"/>
  <c r="J19" i="12"/>
  <c r="G66" i="12"/>
  <c r="G73" i="12" s="1"/>
  <c r="G77" i="12" s="1"/>
  <c r="G103" i="12"/>
  <c r="G40" i="7" s="1"/>
  <c r="G46" i="7" s="1"/>
  <c r="I69" i="12"/>
  <c r="H64" i="12"/>
  <c r="J69" i="12"/>
  <c r="I64" i="12"/>
  <c r="I68" i="12"/>
  <c r="H76" i="12"/>
  <c r="H20" i="5" l="1"/>
  <c r="H30" i="7" s="1"/>
  <c r="G46" i="5"/>
  <c r="H18" i="16"/>
  <c r="H23" i="16" s="1"/>
  <c r="J8" i="16"/>
  <c r="J20" i="5" s="1"/>
  <c r="J13" i="16"/>
  <c r="J21" i="5" s="1"/>
  <c r="J31" i="7" s="1"/>
  <c r="I31" i="7"/>
  <c r="G37" i="7"/>
  <c r="J10" i="6"/>
  <c r="I58" i="7"/>
  <c r="I60" i="17"/>
  <c r="G21" i="6"/>
  <c r="G34" i="5" s="1"/>
  <c r="G35" i="5" s="1"/>
  <c r="B44" i="17"/>
  <c r="I20" i="5"/>
  <c r="I19" i="16"/>
  <c r="I31" i="14"/>
  <c r="I32" i="14" s="1"/>
  <c r="J21" i="14"/>
  <c r="I20" i="15"/>
  <c r="I21" i="15" s="1"/>
  <c r="J64" i="12"/>
  <c r="I103" i="12"/>
  <c r="I40" i="7" s="1"/>
  <c r="H66" i="12"/>
  <c r="H73" i="12" s="1"/>
  <c r="H77" i="12" s="1"/>
  <c r="H103" i="12"/>
  <c r="H40" i="7" s="1"/>
  <c r="I71" i="12"/>
  <c r="J68" i="12" s="1"/>
  <c r="J71" i="12" s="1"/>
  <c r="J76" i="12" s="1"/>
  <c r="I66" i="12"/>
  <c r="I30" i="7" l="1"/>
  <c r="H46" i="5"/>
  <c r="G51" i="5"/>
  <c r="G52" i="5" s="1"/>
  <c r="G53" i="5" s="1"/>
  <c r="G33" i="7"/>
  <c r="G36" i="7" s="1"/>
  <c r="G38" i="7" s="1"/>
  <c r="G60" i="7" s="1"/>
  <c r="G62" i="7" s="1"/>
  <c r="G22" i="5" s="1"/>
  <c r="G27" i="5" s="1"/>
  <c r="I18" i="16"/>
  <c r="J19" i="16"/>
  <c r="H57" i="17"/>
  <c r="H46" i="7"/>
  <c r="J30" i="7"/>
  <c r="I57" i="17"/>
  <c r="I46" i="7"/>
  <c r="J25" i="14"/>
  <c r="J26" i="14"/>
  <c r="J7" i="15" s="1"/>
  <c r="J11" i="15" s="1"/>
  <c r="J13" i="6" s="1"/>
  <c r="I39" i="5"/>
  <c r="I42" i="5" s="1"/>
  <c r="I18" i="15"/>
  <c r="I19" i="15"/>
  <c r="I45" i="5"/>
  <c r="J66" i="12"/>
  <c r="J73" i="12" s="1"/>
  <c r="J77" i="12" s="1"/>
  <c r="J103" i="12"/>
  <c r="J40" i="7" s="1"/>
  <c r="I73" i="12"/>
  <c r="I77" i="12" s="1"/>
  <c r="I76" i="12"/>
  <c r="G28" i="12"/>
  <c r="G106" i="12" s="1"/>
  <c r="H51" i="5" l="1"/>
  <c r="H52" i="5" s="1"/>
  <c r="H33" i="7"/>
  <c r="J18" i="16"/>
  <c r="J46" i="5" s="1"/>
  <c r="I23" i="16"/>
  <c r="I46" i="5"/>
  <c r="I33" i="7" s="1"/>
  <c r="H61" i="7"/>
  <c r="J27" i="14"/>
  <c r="J30" i="14" s="1"/>
  <c r="J46" i="7"/>
  <c r="J57" i="17"/>
  <c r="J57" i="7"/>
  <c r="J59" i="17" s="1"/>
  <c r="J10" i="7"/>
  <c r="G116" i="12"/>
  <c r="H25" i="12"/>
  <c r="G35" i="12"/>
  <c r="G114" i="12" s="1"/>
  <c r="G6" i="5" s="1"/>
  <c r="G18" i="5" s="1"/>
  <c r="G29" i="5" s="1"/>
  <c r="J33" i="7" l="1"/>
  <c r="J23" i="16"/>
  <c r="I51" i="5"/>
  <c r="I52" i="5" s="1"/>
  <c r="G54" i="5"/>
  <c r="G55" i="5"/>
  <c r="J55" i="7"/>
  <c r="J60" i="17" s="1"/>
  <c r="J20" i="15"/>
  <c r="J21" i="15" s="1"/>
  <c r="J31" i="14"/>
  <c r="G118" i="12"/>
  <c r="H28" i="12"/>
  <c r="H106" i="12" s="1"/>
  <c r="H102" i="12"/>
  <c r="G39" i="12"/>
  <c r="H31" i="12"/>
  <c r="J58" i="7" l="1"/>
  <c r="J32" i="14"/>
  <c r="J19" i="15"/>
  <c r="J45" i="5"/>
  <c r="J51" i="5" s="1"/>
  <c r="H33" i="12"/>
  <c r="H112" i="12" s="1"/>
  <c r="H109" i="12"/>
  <c r="H11" i="6" s="1"/>
  <c r="I25" i="12"/>
  <c r="H116" i="12" l="1"/>
  <c r="H12" i="6"/>
  <c r="H15" i="6" s="1"/>
  <c r="H17" i="6" s="1"/>
  <c r="H5" i="7" s="1"/>
  <c r="H7" i="7"/>
  <c r="J18" i="15"/>
  <c r="J39" i="5"/>
  <c r="J42" i="5" s="1"/>
  <c r="J52" i="5" s="1"/>
  <c r="H35" i="12"/>
  <c r="H114" i="12" s="1"/>
  <c r="H6" i="5" s="1"/>
  <c r="H18" i="5" s="1"/>
  <c r="H38" i="12"/>
  <c r="I30" i="12"/>
  <c r="I108" i="12" s="1"/>
  <c r="I28" i="12"/>
  <c r="I106" i="12" s="1"/>
  <c r="I102" i="12"/>
  <c r="H117" i="12"/>
  <c r="I31" i="12"/>
  <c r="H25" i="7" l="1"/>
  <c r="H36" i="7" s="1"/>
  <c r="H56" i="17" s="1"/>
  <c r="H58" i="17" s="1"/>
  <c r="H61" i="17" s="1"/>
  <c r="H39" i="12"/>
  <c r="H36" i="11"/>
  <c r="H18" i="6" s="1"/>
  <c r="H37" i="7" s="1"/>
  <c r="H118" i="12"/>
  <c r="I33" i="12"/>
  <c r="I112" i="12" s="1"/>
  <c r="I109" i="12"/>
  <c r="J25" i="12"/>
  <c r="H19" i="6" l="1"/>
  <c r="H21" i="6" s="1"/>
  <c r="H34" i="5" s="1"/>
  <c r="H35" i="5" s="1"/>
  <c r="H53" i="5" s="1"/>
  <c r="H38" i="7"/>
  <c r="H60" i="7" s="1"/>
  <c r="H62" i="7" s="1"/>
  <c r="H22" i="5" s="1"/>
  <c r="H27" i="5" s="1"/>
  <c r="H29" i="5" s="1"/>
  <c r="H65" i="17"/>
  <c r="I35" i="12"/>
  <c r="I114" i="12" s="1"/>
  <c r="I6" i="5" s="1"/>
  <c r="I18" i="5" s="1"/>
  <c r="I38" i="12"/>
  <c r="J30" i="12"/>
  <c r="J108" i="12" s="1"/>
  <c r="I116" i="12"/>
  <c r="I11" i="6"/>
  <c r="J28" i="12"/>
  <c r="J106" i="12" s="1"/>
  <c r="J102" i="12"/>
  <c r="I117" i="12"/>
  <c r="I39" i="12"/>
  <c r="J31" i="12"/>
  <c r="H55" i="5" l="1"/>
  <c r="I61" i="7"/>
  <c r="I118" i="12"/>
  <c r="I12" i="6"/>
  <c r="I15" i="6" s="1"/>
  <c r="I17" i="6" s="1"/>
  <c r="I5" i="7" s="1"/>
  <c r="I7" i="7"/>
  <c r="H54" i="5"/>
  <c r="J33" i="12"/>
  <c r="J112" i="12" s="1"/>
  <c r="J109" i="12"/>
  <c r="J11" i="6" s="1"/>
  <c r="I36" i="11" l="1"/>
  <c r="I18" i="6" s="1"/>
  <c r="I19" i="6" s="1"/>
  <c r="I21" i="6" s="1"/>
  <c r="I34" i="5" s="1"/>
  <c r="I25" i="7"/>
  <c r="I36" i="7" s="1"/>
  <c r="I56" i="17" s="1"/>
  <c r="I58" i="17" s="1"/>
  <c r="I61" i="17" s="1"/>
  <c r="J38" i="12"/>
  <c r="J35" i="12"/>
  <c r="J114" i="12" s="1"/>
  <c r="J6" i="5" s="1"/>
  <c r="J18" i="5" s="1"/>
  <c r="J12" i="6"/>
  <c r="J15" i="6" s="1"/>
  <c r="J17" i="6" s="1"/>
  <c r="J5" i="7" s="1"/>
  <c r="J7" i="7"/>
  <c r="J116" i="12"/>
  <c r="J117" i="12"/>
  <c r="J39" i="12"/>
  <c r="I37" i="7" l="1"/>
  <c r="I38" i="7" s="1"/>
  <c r="I60" i="7" s="1"/>
  <c r="I62" i="7" s="1"/>
  <c r="J36" i="11"/>
  <c r="J18" i="6" s="1"/>
  <c r="J37" i="7" s="1"/>
  <c r="I65" i="17"/>
  <c r="J118" i="12"/>
  <c r="J25" i="7"/>
  <c r="J36" i="7" s="1"/>
  <c r="J56" i="17" s="1"/>
  <c r="J58" i="17" s="1"/>
  <c r="J61" i="17" s="1"/>
  <c r="I35" i="5"/>
  <c r="I53" i="5" s="1"/>
  <c r="J19" i="6" l="1"/>
  <c r="B62" i="17" s="1"/>
  <c r="J61" i="7"/>
  <c r="I22" i="5"/>
  <c r="I27" i="5" s="1"/>
  <c r="I29" i="5" s="1"/>
  <c r="I54" i="5" s="1"/>
  <c r="J38" i="7"/>
  <c r="J60" i="7" s="1"/>
  <c r="J21" i="6" l="1"/>
  <c r="J34" i="5" s="1"/>
  <c r="J35" i="5" s="1"/>
  <c r="J53" i="5" s="1"/>
  <c r="I55" i="5"/>
  <c r="B45" i="17"/>
  <c r="B47" i="17" s="1"/>
  <c r="B48" i="17" s="1"/>
  <c r="B49" i="17" s="1"/>
  <c r="J62" i="7"/>
  <c r="J22" i="5" s="1"/>
  <c r="J27" i="5" s="1"/>
  <c r="J29" i="5" s="1"/>
  <c r="B64" i="17"/>
  <c r="J64" i="17" s="1"/>
  <c r="J54" i="5" l="1"/>
  <c r="J55" i="5"/>
  <c r="J65" i="17"/>
  <c r="B69" i="17" s="1"/>
  <c r="B70" i="17" s="1"/>
  <c r="B81" i="17" s="1"/>
  <c r="B5" i="18" s="1"/>
  <c r="B73" i="17"/>
  <c r="B72" i="17"/>
  <c r="B77" i="17" l="1"/>
  <c r="B7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B82" authorId="0" shapeId="0" xr:uid="{B66951D9-D7AE-405A-913B-66E008376888}">
      <text>
        <r>
          <rPr>
            <b/>
            <sz val="9"/>
            <color indexed="81"/>
            <rFont val="Tahoma"/>
            <family val="2"/>
          </rPr>
          <t xml:space="preserve">Sanidhya Ekhar:
</t>
        </r>
        <r>
          <rPr>
            <sz val="9"/>
            <color indexed="81"/>
            <rFont val="Tahoma"/>
            <family val="2"/>
          </rPr>
          <t xml:space="preserve">As per RBI - Government Security Market Rate </t>
        </r>
      </text>
    </comment>
    <comment ref="B83" authorId="0" shapeId="0" xr:uid="{73E75EC8-B8AC-443F-89B6-48F0A96FBC7B}">
      <text>
        <r>
          <rPr>
            <b/>
            <sz val="9"/>
            <color indexed="81"/>
            <rFont val="Tahoma"/>
            <family val="2"/>
          </rPr>
          <t xml:space="preserve">Sanidhya Ekhar:
</t>
        </r>
        <r>
          <rPr>
            <sz val="9"/>
            <color indexed="81"/>
            <rFont val="Tahoma"/>
            <family val="2"/>
          </rPr>
          <t>As per Country Default Spreads and Risk Premiums table by Mr.Aswath Damodarn</t>
        </r>
      </text>
    </comment>
    <comment ref="B84" authorId="0" shapeId="0" xr:uid="{764D81D2-D5DE-4C2C-9F0F-8C881718A92A}">
      <text>
        <r>
          <rPr>
            <b/>
            <sz val="9"/>
            <color indexed="81"/>
            <rFont val="Tahoma"/>
            <family val="2"/>
          </rPr>
          <t xml:space="preserve">Sanidhya Ekhar:
</t>
        </r>
        <r>
          <rPr>
            <sz val="9"/>
            <color indexed="81"/>
            <rFont val="Tahoma"/>
            <family val="2"/>
          </rPr>
          <t xml:space="preserve">As per money control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A5" authorId="0" shapeId="0" xr:uid="{26DE208F-2746-4ABC-8463-C87755C3CE7D}">
      <text>
        <r>
          <rPr>
            <b/>
            <sz val="9"/>
            <color indexed="81"/>
            <rFont val="Tahoma"/>
            <family val="2"/>
          </rPr>
          <t xml:space="preserve">Sanidhya Ekhar:
</t>
        </r>
        <r>
          <rPr>
            <sz val="9"/>
            <color indexed="81"/>
            <rFont val="Tahoma"/>
            <family val="2"/>
          </rPr>
          <t>All the information sourced through Screener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J8" authorId="0" shapeId="0" xr:uid="{4B2B9712-800E-46B1-83D7-4DA384383D42}">
      <text>
        <r>
          <rPr>
            <b/>
            <sz val="9"/>
            <color indexed="81"/>
            <rFont val="Tahoma"/>
            <family val="2"/>
          </rPr>
          <t xml:space="preserve">Sanidhya Ekhar:
</t>
        </r>
        <r>
          <rPr>
            <sz val="9"/>
            <color indexed="81"/>
            <rFont val="Tahoma"/>
            <family val="2"/>
          </rPr>
          <t>Management guidance</t>
        </r>
      </text>
    </comment>
    <comment ref="J14" authorId="0" shapeId="0" xr:uid="{7AFD7F2F-4DD4-47D5-A0E2-B54B7FBCE9EC}">
      <text>
        <r>
          <rPr>
            <b/>
            <sz val="9"/>
            <color indexed="81"/>
            <rFont val="Tahoma"/>
            <family val="2"/>
          </rPr>
          <t xml:space="preserve">Sanidhya Ekhar:
</t>
        </r>
        <r>
          <rPr>
            <sz val="9"/>
            <color indexed="81"/>
            <rFont val="Tahoma"/>
            <family val="2"/>
          </rPr>
          <t>Management guidance</t>
        </r>
      </text>
    </comment>
    <comment ref="G37" authorId="0" shapeId="0" xr:uid="{A947B8F7-C328-45EB-A811-DD2EF57624BF}">
      <text>
        <r>
          <rPr>
            <b/>
            <sz val="9"/>
            <color indexed="81"/>
            <rFont val="Tahoma"/>
            <family val="2"/>
          </rPr>
          <t xml:space="preserve">Sanidhya Ekahr-
</t>
        </r>
        <r>
          <rPr>
            <sz val="9"/>
            <color indexed="81"/>
            <rFont val="Tahoma"/>
            <family val="2"/>
          </rPr>
          <t xml:space="preserve">Sensex PEG Ratio </t>
        </r>
      </text>
    </comment>
    <comment ref="G40" authorId="0" shapeId="0" xr:uid="{020ED3B1-94B8-49B5-9697-B2AA3915971C}">
      <text>
        <r>
          <rPr>
            <b/>
            <sz val="9"/>
            <color indexed="81"/>
            <rFont val="Tahoma"/>
            <family val="2"/>
          </rPr>
          <t xml:space="preserve">Sanidhya Ekhar:
</t>
        </r>
        <r>
          <rPr>
            <sz val="9"/>
            <color indexed="81"/>
            <rFont val="Tahoma"/>
            <family val="2"/>
          </rPr>
          <t>Ethos Ltd.'s all time high PE</t>
        </r>
      </text>
    </comment>
    <comment ref="G45" authorId="0" shapeId="0" xr:uid="{8B52AD73-D249-4274-9600-DFA7A6A1B294}">
      <text>
        <r>
          <rPr>
            <b/>
            <sz val="9"/>
            <color indexed="81"/>
            <rFont val="Tahoma"/>
            <family val="2"/>
          </rPr>
          <t xml:space="preserve">Sanidhya Ekhar:
As CAPM Model -
</t>
        </r>
        <r>
          <rPr>
            <sz val="9"/>
            <color indexed="81"/>
            <rFont val="Tahoma"/>
            <family val="2"/>
          </rPr>
          <t xml:space="preserve">Rf Rate =6.03%(Government Security Market Rate)
ERP = 7.08%(Source- Mr.Aswath Damodarn)
Beta =0.75(Source-Money control)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Rajendra Mirashie</author>
  </authors>
  <commentList>
    <comment ref="D41" authorId="0" shapeId="0" xr:uid="{FCAB6083-17E6-4397-B4B4-EF1AD8162CAC}">
      <text>
        <r>
          <rPr>
            <b/>
            <sz val="9"/>
            <color indexed="81"/>
            <rFont val="Tahoma"/>
            <family val="2"/>
          </rPr>
          <t xml:space="preserve">Sanidhya Ekhar:
</t>
        </r>
        <r>
          <rPr>
            <sz val="9"/>
            <color indexed="81"/>
            <rFont val="Tahoma"/>
            <family val="2"/>
          </rPr>
          <t>Shown as provisions till this year</t>
        </r>
      </text>
    </comment>
    <comment ref="D49" authorId="0" shapeId="0" xr:uid="{1B3A7E1E-2D3D-425B-B838-9164F8D99BD8}">
      <text>
        <r>
          <rPr>
            <b/>
            <sz val="9"/>
            <color indexed="81"/>
            <rFont val="Tahoma"/>
            <family val="2"/>
          </rPr>
          <t xml:space="preserve">Sanidhya Ekhar:
</t>
        </r>
        <r>
          <rPr>
            <sz val="9"/>
            <color indexed="81"/>
            <rFont val="Tahoma"/>
            <family val="2"/>
          </rPr>
          <t>Shown as Provision till this year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Rajendra Mirashie</author>
    <author>Sanidhya Ekhar</author>
  </authors>
  <commentList>
    <comment ref="D32" authorId="0" shapeId="0" xr:uid="{2C4D6187-FF52-4147-BD0C-6BBCF6B93E79}">
      <text>
        <r>
          <rPr>
            <b/>
            <sz val="9"/>
            <color indexed="81"/>
            <rFont val="Tahoma"/>
            <family val="2"/>
          </rPr>
          <t xml:space="preserve">Sanidhya Ekhar:
</t>
        </r>
        <r>
          <rPr>
            <sz val="9"/>
            <color indexed="81"/>
            <rFont val="Tahoma"/>
            <family val="2"/>
          </rPr>
          <t>Was named as provision till this year</t>
        </r>
      </text>
    </comment>
    <comment ref="G56" authorId="1" shapeId="0" xr:uid="{D5E1CC5A-3423-49F7-B37A-87C0573FC962}">
      <text>
        <r>
          <rPr>
            <b/>
            <sz val="9"/>
            <color indexed="81"/>
            <rFont val="Tahoma"/>
            <family val="2"/>
          </rPr>
          <t>Sanidhya Ekhar:</t>
        </r>
        <r>
          <rPr>
            <sz val="9"/>
            <color indexed="81"/>
            <rFont val="Tahoma"/>
            <family val="2"/>
          </rPr>
          <t xml:space="preserve">
Got included in Interest Expense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Sanidhya Ekhar</author>
  </authors>
  <commentList>
    <comment ref="C8" authorId="0" shapeId="0" xr:uid="{B0F6D300-A440-4B6A-A8AD-E3EBF82E48F6}">
      <text>
        <r>
          <rPr>
            <b/>
            <sz val="9"/>
            <color indexed="81"/>
            <rFont val="Tahoma"/>
            <family val="2"/>
          </rPr>
          <t>Sanidhya Ekhar:</t>
        </r>
        <r>
          <rPr>
            <sz val="9"/>
            <color indexed="81"/>
            <rFont val="Tahoma"/>
            <family val="2"/>
          </rPr>
          <t xml:space="preserve">
Assumed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Sanidhya Ekhar</author>
  </authors>
  <commentList>
    <comment ref="J64" authorId="0" shapeId="0" xr:uid="{72999E59-0661-440D-8339-B45C2B8567AD}">
      <text>
        <r>
          <rPr>
            <b/>
            <sz val="9"/>
            <color indexed="81"/>
            <rFont val="Tahoma"/>
            <family val="2"/>
          </rPr>
          <t>Sanidhya Ekhar:</t>
        </r>
        <r>
          <rPr>
            <sz val="9"/>
            <color indexed="81"/>
            <rFont val="Tahoma"/>
            <family val="2"/>
          </rPr>
          <t xml:space="preserve">
To maintain consistency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Sanidhya Ekhar</author>
  </authors>
  <commentList>
    <comment ref="C28" authorId="0" shapeId="0" xr:uid="{19C688FA-2D17-46D5-B974-A2054AE7B4DC}">
      <text>
        <r>
          <rPr>
            <b/>
            <sz val="9"/>
            <color indexed="81"/>
            <rFont val="Tahoma"/>
            <family val="2"/>
          </rPr>
          <t>Sanidhya Ekhar:</t>
        </r>
        <r>
          <rPr>
            <sz val="9"/>
            <color indexed="81"/>
            <rFont val="Tahoma"/>
            <family val="2"/>
          </rPr>
          <t xml:space="preserve">
For Covid </t>
        </r>
      </text>
    </comment>
  </commentList>
</comments>
</file>

<file path=xl/sharedStrings.xml><?xml version="1.0" encoding="utf-8"?>
<sst xmlns="http://schemas.openxmlformats.org/spreadsheetml/2006/main" count="763" uniqueCount="396">
  <si>
    <t>Figures in lakhs</t>
  </si>
  <si>
    <t>Comments</t>
  </si>
  <si>
    <t>2021-22 A</t>
  </si>
  <si>
    <t>2022-23 A</t>
  </si>
  <si>
    <t>2024-25 A</t>
  </si>
  <si>
    <t>2025-26 E</t>
  </si>
  <si>
    <t>2026-27 E</t>
  </si>
  <si>
    <t>2027-28 E</t>
  </si>
  <si>
    <t xml:space="preserve">Sheet Name </t>
  </si>
  <si>
    <t>Particular/Years</t>
  </si>
  <si>
    <t>Balance Sheet</t>
  </si>
  <si>
    <t>-</t>
  </si>
  <si>
    <t>ASSETS</t>
  </si>
  <si>
    <t>Non-current assets</t>
  </si>
  <si>
    <t>Property, plant and equipment</t>
  </si>
  <si>
    <t>Capital work-in-progress</t>
  </si>
  <si>
    <t>Intangible assets</t>
  </si>
  <si>
    <t>Right-of-use assets</t>
  </si>
  <si>
    <t>Intangible assets under development</t>
  </si>
  <si>
    <t>Investment in joint venture</t>
  </si>
  <si>
    <t>Loans</t>
  </si>
  <si>
    <t>Other financial assets</t>
  </si>
  <si>
    <t>Non-current tax assets (net)</t>
  </si>
  <si>
    <t>Deferred tax assets (net)</t>
  </si>
  <si>
    <t>Other non-current assets</t>
  </si>
  <si>
    <t>Total Non Current Assets</t>
  </si>
  <si>
    <t>Current Assets</t>
  </si>
  <si>
    <t>Inventories</t>
  </si>
  <si>
    <t>Trade receivables</t>
  </si>
  <si>
    <t>Cash and cash equivalents</t>
  </si>
  <si>
    <t>Other bank balances</t>
  </si>
  <si>
    <t>Other current assets</t>
  </si>
  <si>
    <t>Total current assets</t>
  </si>
  <si>
    <t>Total Assets</t>
  </si>
  <si>
    <t>EQUITY AND LIABILITIES</t>
  </si>
  <si>
    <t>Equity</t>
  </si>
  <si>
    <t>Equity share capital</t>
  </si>
  <si>
    <t>Other equity</t>
  </si>
  <si>
    <t>Total equity</t>
  </si>
  <si>
    <t>Liabilities</t>
  </si>
  <si>
    <t>Non-current liabilities</t>
  </si>
  <si>
    <t>Borrowings</t>
  </si>
  <si>
    <t>Lease liabilities</t>
  </si>
  <si>
    <t>Other financial liabilities</t>
  </si>
  <si>
    <t>Total non-current liabilities</t>
  </si>
  <si>
    <t>Current liabilities</t>
  </si>
  <si>
    <t>Trade payables</t>
  </si>
  <si>
    <t>Other current liabilities</t>
  </si>
  <si>
    <t>Current tax liabilities (net)</t>
  </si>
  <si>
    <t>Total current liabilities</t>
  </si>
  <si>
    <t>Total liabilities</t>
  </si>
  <si>
    <t>2023-24 A</t>
  </si>
  <si>
    <t>Investments</t>
  </si>
  <si>
    <t>Employee benefit obligations</t>
  </si>
  <si>
    <t xml:space="preserve">Income Statement </t>
  </si>
  <si>
    <t>Revenue from operations</t>
  </si>
  <si>
    <t>Other income</t>
  </si>
  <si>
    <t>Employee benefits expense</t>
  </si>
  <si>
    <t>Finance costs</t>
  </si>
  <si>
    <t>Depreciation and amortization expense</t>
  </si>
  <si>
    <t>Share of profit of joint venture (net of income tax) (IV)</t>
  </si>
  <si>
    <t xml:space="preserve">Cash Flow Statement </t>
  </si>
  <si>
    <t>A. OPERATING ACTIVITIES</t>
  </si>
  <si>
    <t>Profit before income tax</t>
  </si>
  <si>
    <t>Adjustments to reconcile profit before tax to net cash flows :</t>
  </si>
  <si>
    <t>Profit on Sale of property, plant &amp; equipments</t>
  </si>
  <si>
    <t>Interest expense</t>
  </si>
  <si>
    <t>Interest income</t>
  </si>
  <si>
    <t>Provisions/liabilities no longer required written back</t>
  </si>
  <si>
    <t>Share of profit of joint venture</t>
  </si>
  <si>
    <t>Share options lapsed</t>
  </si>
  <si>
    <t>Unrealized foreign exchange gain</t>
  </si>
  <si>
    <t>Rent waiver on lease liabilities</t>
  </si>
  <si>
    <t>Gain on termination of lease contracts</t>
  </si>
  <si>
    <t>Allowance for bad and doubtful debts/(written back)</t>
  </si>
  <si>
    <t>Allowance for bad and doubtful advances/recoverable</t>
  </si>
  <si>
    <t>Advances / deposits / Bad debts written off</t>
  </si>
  <si>
    <t>Cash generated from operations before working capital changes</t>
  </si>
  <si>
    <t>Movements in working capital:</t>
  </si>
  <si>
    <t>(Increase) in loans</t>
  </si>
  <si>
    <t>(Increase)/ Decrease in other financial assets</t>
  </si>
  <si>
    <t>(Increase)/ Decrease in other assets</t>
  </si>
  <si>
    <t>(Increase)/ Decrease in inventories</t>
  </si>
  <si>
    <t>(Increase)/ Decrease in trade receivables</t>
  </si>
  <si>
    <t>Increase in trade payables</t>
  </si>
  <si>
    <t>Increase/(Decrease) in other financial liabilities</t>
  </si>
  <si>
    <t>Increase/ (Decrease) in other current liabilities</t>
  </si>
  <si>
    <t>Cash flow from operations</t>
  </si>
  <si>
    <t>Income tax paid (net)</t>
  </si>
  <si>
    <t>Net cash flow from operating activities (A)</t>
  </si>
  <si>
    <t>B. INVESTING ACTIVITIES</t>
  </si>
  <si>
    <t>Proceeds from sale of property, plant and equipment</t>
  </si>
  <si>
    <t>Payment towards purchase of investments</t>
  </si>
  <si>
    <t>Interest received</t>
  </si>
  <si>
    <t>Net cash (used in) investing activities (B)</t>
  </si>
  <si>
    <t>C. FINANCING ACTIVITIES</t>
  </si>
  <si>
    <t>Proceeds from issue of equity share capital (including premium)</t>
  </si>
  <si>
    <t>Share issue expenses</t>
  </si>
  <si>
    <t>Proceeds from non-current borrowings</t>
  </si>
  <si>
    <t>Repayment of non-current borrowings</t>
  </si>
  <si>
    <t>Proceeds from/repayments of other current borrowings (net)</t>
  </si>
  <si>
    <t>Payment of principal portion of lease liabilities</t>
  </si>
  <si>
    <t>Interest paid on lease liabilities</t>
  </si>
  <si>
    <t>Interest expense paid</t>
  </si>
  <si>
    <t>Net cash flow from/(used in) financing activities (C)</t>
  </si>
  <si>
    <t>NET INCREASE IN CASH AND CASH EQUIVALENTS (A+B+C)</t>
  </si>
  <si>
    <t>Cash and cash equivalents at the beginning of the year</t>
  </si>
  <si>
    <t>Cash and cash equivalents at the end of the year</t>
  </si>
  <si>
    <t>Proceeds from current borrowings having maturity period more than 3 months</t>
  </si>
  <si>
    <t xml:space="preserve">Repayment of current borrowing having maturity period more than 3 months </t>
  </si>
  <si>
    <t xml:space="preserve"> </t>
  </si>
  <si>
    <t>Write off / loss on sale of property, plant &amp; equipment</t>
  </si>
  <si>
    <t>Effect of exchange rates on translation of operating cash flows</t>
  </si>
  <si>
    <t>Fair value gain on investments carried at fair value through profit or loss</t>
  </si>
  <si>
    <t>Gain on deemed disposal of subsidiary</t>
  </si>
  <si>
    <t>Increase in employee benefit obligations</t>
  </si>
  <si>
    <t>Payment towards acquistion of associate</t>
  </si>
  <si>
    <t>Change in fair value of derivative contracts</t>
  </si>
  <si>
    <t>Listed on BSE and NSE in 2022</t>
  </si>
  <si>
    <t xml:space="preserve">Messika Jewellery </t>
  </si>
  <si>
    <t>Rimowa luggage - 1st store opened in 2025</t>
  </si>
  <si>
    <t>Average Selling price (In Lakhs)</t>
  </si>
  <si>
    <t>Number of stores-</t>
  </si>
  <si>
    <t xml:space="preserve">Impact of EFTA </t>
  </si>
  <si>
    <t>Concall Nov 2024-</t>
  </si>
  <si>
    <t>Pg 8 - In terms of EFTA, the EFTA is a groundbreaking agreement. It will reduce customs duty and it
will impact our bottom line in a positive manner.</t>
  </si>
  <si>
    <t>pg 9-  In my opinion over the next 5 years, we are going to at least target an 8X to 10X increase in the business of just Rimowa itself.
we hope to open 8 to 10 boutiques more of Messika in the next 5 years.</t>
  </si>
  <si>
    <t>Revenue stream-</t>
  </si>
  <si>
    <t xml:space="preserve">New Luxury Watch retail- tie up from brands , buy from them and sell them through their bouquet store and online </t>
  </si>
  <si>
    <t>Sell pre owned watch retail - Buy used luxury watch , restore them, certify them and sold with warranty</t>
  </si>
  <si>
    <t>Watch servicing, repairing and accessories</t>
  </si>
  <si>
    <t xml:space="preserve">Impact of Foreign exchange </t>
  </si>
  <si>
    <r>
      <t xml:space="preserve">pg7-But is there an opportunity in the </t>
    </r>
    <r>
      <rPr>
        <b/>
        <sz val="11"/>
        <color theme="1"/>
        <rFont val="Aptos Narrow"/>
        <family val="2"/>
        <scheme val="minor"/>
      </rPr>
      <t>next 5 years to open 20 stores a year</t>
    </r>
  </si>
  <si>
    <t>Luxury jeweller and luggage -</t>
  </si>
  <si>
    <t>SSG</t>
  </si>
  <si>
    <t>Concall May 2025-</t>
  </si>
  <si>
    <t>News on city of time dated 26 may 2025</t>
  </si>
  <si>
    <r>
      <t>Ethos Watches</t>
    </r>
    <r>
      <rPr>
        <sz val="12"/>
        <color rgb="FF000000"/>
        <rFont val="Lora"/>
      </rPr>
      <t> has unveiled—</t>
    </r>
    <r>
      <rPr>
        <b/>
        <sz val="12"/>
        <color rgb="FF000000"/>
        <rFont val="Lora"/>
      </rPr>
      <t>City of Time</t>
    </r>
    <r>
      <rPr>
        <sz val="12"/>
        <color rgb="FF000000"/>
        <rFont val="Lora"/>
      </rPr>
      <t>, a 22,000-square-foot horological haven in the heart of Gurugram</t>
    </r>
  </si>
  <si>
    <t>pg2-The City of Time Gurgaon spanning over 22,000 square feet features five exclusive brand boutiques and two multi-brand galleries with 50-plus independent brands, watchmaking zones, a cigar lounge and more</t>
  </si>
  <si>
    <t>As part of our international expansion strategy, we have established a wholly-owned subsidiary in the UAE. It's called Ficus Trading LLC.</t>
  </si>
  <si>
    <r>
      <t xml:space="preserve">We have now implemented a prudent hedging strategy covering approximately </t>
    </r>
    <r>
      <rPr>
        <b/>
        <sz val="11"/>
        <color theme="1"/>
        <rFont val="Aptos Narrow"/>
        <family val="2"/>
        <scheme val="minor"/>
      </rPr>
      <t>50% of our foreign currency exposure through forward contracts</t>
    </r>
  </si>
  <si>
    <t>Furthermore, inventory for the 8 boutiques opening in May 2025 was proactively prearranged in quarter four to ensure timely and seamless launches. Because of the above reasons, the inventory moved from INR 440 crores on 31st March 2024 to INR593 crores as on 31st March 2025</t>
  </si>
  <si>
    <t>pg8- and in terms of overall volume, it grew by almost 15.5% year-on-year. And in terms of average selling price, it grew by 7.4%.</t>
  </si>
  <si>
    <t>And as I had mentioned two years ago when the listing was taking place that we want to grow 10x in 10 years has been our vision, right, especially in the retail of watches and premium products in India</t>
  </si>
  <si>
    <t>Pg12-we see that about a little bit above 40% is repeat buying</t>
  </si>
  <si>
    <r>
      <t>Pg13-In addition, there were some brand debit notes. Generally, we get every quarter or half yearly basis. This year, it was accumulated and padded up to the year-end. So that's why you see the</t>
    </r>
    <r>
      <rPr>
        <b/>
        <sz val="11"/>
        <color theme="1"/>
        <rFont val="Aptos Narrow"/>
        <family val="2"/>
        <scheme val="minor"/>
      </rPr>
      <t xml:space="preserve"> reduction in the creditors.</t>
    </r>
  </si>
  <si>
    <r>
      <t xml:space="preserve">pg16- 
Manish Poddar: So just two questions. So one is in terms of any sense of our market share in India? How would
that be stacking?
Pranav Saboo: In the segments that we operate with, we believe that it is about </t>
    </r>
    <r>
      <rPr>
        <b/>
        <sz val="11"/>
        <color theme="1"/>
        <rFont val="Aptos Narrow"/>
        <family val="2"/>
        <scheme val="minor"/>
      </rPr>
      <t>35% to 40%.</t>
    </r>
  </si>
  <si>
    <r>
      <t xml:space="preserve">pg3-Looking ahead, we remain on track to be able to </t>
    </r>
    <r>
      <rPr>
        <b/>
        <sz val="11"/>
        <color theme="1"/>
        <rFont val="Aptos Narrow"/>
        <family val="2"/>
        <scheme val="minor"/>
      </rPr>
      <t>cross 100 boutiques during the current financial year.</t>
    </r>
  </si>
  <si>
    <r>
      <t xml:space="preserve">pg12- As I mentioned our SSG has been 15.5% in the last 6 months. Our goal is to increase our overall revenue, and </t>
    </r>
    <r>
      <rPr>
        <b/>
        <sz val="11"/>
        <color theme="1"/>
        <rFont val="Aptos Narrow"/>
        <family val="2"/>
        <scheme val="minor"/>
      </rPr>
      <t>our overall business will be 10times in 10 years</t>
    </r>
    <r>
      <rPr>
        <sz val="11"/>
        <color theme="1"/>
        <rFont val="Aptos Narrow"/>
        <family val="2"/>
        <scheme val="minor"/>
      </rPr>
      <t xml:space="preserve">. I think it will be a healthy </t>
    </r>
    <r>
      <rPr>
        <b/>
        <sz val="11"/>
        <color theme="1"/>
        <rFont val="Aptos Narrow"/>
        <family val="2"/>
        <scheme val="minor"/>
      </rPr>
      <t>mix of same store growth and new store addition</t>
    </r>
  </si>
  <si>
    <t>Concall May 2023</t>
  </si>
  <si>
    <t>Digitally assisted sales (In Cr.)</t>
  </si>
  <si>
    <t>Online Visitors(In Lakhs)</t>
  </si>
  <si>
    <t xml:space="preserve">Online Sales </t>
  </si>
  <si>
    <t xml:space="preserve">Online sales % of total Revnue </t>
  </si>
  <si>
    <t xml:space="preserve">From Equentis for 2024 &amp;Tijori Finance for 2025 </t>
  </si>
  <si>
    <t>Revenue Model</t>
  </si>
  <si>
    <t>Number of Stores</t>
  </si>
  <si>
    <t>Number of Stores Newly opened during the year</t>
  </si>
  <si>
    <t>Existing Store (Age&gt;2 years)</t>
  </si>
  <si>
    <t>New Store (Age between 1 and 2 years)</t>
  </si>
  <si>
    <t>New Store (Age &lt; 1 year)</t>
  </si>
  <si>
    <t xml:space="preserve">Revenue Per Existing Store </t>
  </si>
  <si>
    <t>Revenue Per New Store(Age between 1 and 2 years)</t>
  </si>
  <si>
    <t>Revenue Per New Store(Age &lt; 1 years)</t>
  </si>
  <si>
    <t xml:space="preserve">Same Store Growth </t>
  </si>
  <si>
    <r>
      <t xml:space="preserve">pg7-SSG numbers, for the year, for the last year, the SSG was 30%. So which is extremely strong. Our overall target, our steady target for, the </t>
    </r>
    <r>
      <rPr>
        <b/>
        <sz val="11"/>
        <color theme="1"/>
        <rFont val="Aptos Narrow"/>
        <family val="2"/>
        <scheme val="minor"/>
      </rPr>
      <t xml:space="preserve">next three to four years is an SSG target between 12% and 15%. </t>
    </r>
    <r>
      <rPr>
        <sz val="11"/>
        <color theme="1"/>
        <rFont val="Aptos Narrow"/>
        <family val="2"/>
        <scheme val="minor"/>
      </rPr>
      <t xml:space="preserve">
So last year, of course, was completely an outlier.But </t>
    </r>
    <r>
      <rPr>
        <b/>
        <sz val="11"/>
        <color theme="1"/>
        <rFont val="Aptos Narrow"/>
        <family val="2"/>
        <scheme val="minor"/>
      </rPr>
      <t>12% to 15% SSG growth is our target, a long-term target.</t>
    </r>
  </si>
  <si>
    <t>Discount(In%) in Revenue of Exisiting store and New store (Age between 1 and 2 Year)</t>
  </si>
  <si>
    <t>Explicit</t>
  </si>
  <si>
    <t xml:space="preserve">Revenue from Existing Store </t>
  </si>
  <si>
    <t>Revenue from New Store(Age between 1 and 2 years)</t>
  </si>
  <si>
    <t>Revenue from New Store(Age &lt; 1 years)</t>
  </si>
  <si>
    <t>TOTAL STORE SALES</t>
  </si>
  <si>
    <t>YoY Growth in Online Sales</t>
  </si>
  <si>
    <t>YoY % Growth in Revneue from operations</t>
  </si>
  <si>
    <t>ONLINE SALES</t>
  </si>
  <si>
    <t>STORE SALES</t>
  </si>
  <si>
    <t>Explicit- They are targeting Teir-II cities so first year sales will be slower than usual.</t>
  </si>
  <si>
    <t xml:space="preserve">Explicit- Company provides not just luxury products but also the luxury experience in the store. So company will target more on Store sales than online sales. </t>
  </si>
  <si>
    <t>In IS there is no "Change in WIP" bcz company doesn't produce any watch they buy from brands (Purchase of stock in trade) and sell to end customers (Change in stock in trade (Negative))</t>
  </si>
  <si>
    <t xml:space="preserve">Cost of Goods Sold </t>
  </si>
  <si>
    <t>Merged with Purchase of stock-in-trade and Changes in inventory of  stock-in-trade</t>
  </si>
  <si>
    <t xml:space="preserve">Gross Profit </t>
  </si>
  <si>
    <t>Advertisement and sales promotion expense</t>
  </si>
  <si>
    <t>Other Expense</t>
  </si>
  <si>
    <t>Earning Before Interest,Depreciation,Tax &amp; Amortization</t>
  </si>
  <si>
    <t>Earning Before Interest &amp; Tax(EBIT)</t>
  </si>
  <si>
    <t xml:space="preserve">Earnings Before Tax and Before Profir share of Joint Venture </t>
  </si>
  <si>
    <t>Earning Before Tax (EBT)</t>
  </si>
  <si>
    <t>Tax Expense</t>
  </si>
  <si>
    <t>Earnings After Tax (EAT)</t>
  </si>
  <si>
    <t>COGS/Revenue from operations</t>
  </si>
  <si>
    <t>Cost Model</t>
  </si>
  <si>
    <t>Explicit - 2026 Because of EFTA Trade, 2027 will have some impact due to war situation and then remaining years COGS will normalize</t>
  </si>
  <si>
    <t xml:space="preserve">Number of Board of Director </t>
  </si>
  <si>
    <t>Number of Key Managerial Personnel</t>
  </si>
  <si>
    <t>Number of Employee other than BOD and KMP</t>
  </si>
  <si>
    <t>Median Remuneration of BOD</t>
  </si>
  <si>
    <t>Median Remuneration of KMP</t>
  </si>
  <si>
    <t>Median Remuneration of Employee othet than BOD and KMP</t>
  </si>
  <si>
    <t xml:space="preserve">Employee per store </t>
  </si>
  <si>
    <t>Constant</t>
  </si>
  <si>
    <t>Median Increase in the salary of BOD(in %)</t>
  </si>
  <si>
    <t>As per the Company Policy</t>
  </si>
  <si>
    <t>Median Increase in the salary of Employee other than BOD &amp; KMP(in %)</t>
  </si>
  <si>
    <t>Median Increase in the salary of KMP(in %)</t>
  </si>
  <si>
    <t>COGS</t>
  </si>
  <si>
    <t>Advertisement and sales promotion expense/Revenue from operations</t>
  </si>
  <si>
    <t xml:space="preserve">Explicit- on the hgiher side as company is introducing products specifically made for india and also considering  intial growth phase of brands like Rimowa luggage and Messika Jewellery </t>
  </si>
  <si>
    <t>Other Expenses</t>
  </si>
  <si>
    <t xml:space="preserve">Other Expenses/Revenue </t>
  </si>
  <si>
    <t>Total Employees</t>
  </si>
  <si>
    <t>Leasehold Improvements</t>
  </si>
  <si>
    <t>Opening Gross Block</t>
  </si>
  <si>
    <t>Add:Capex</t>
  </si>
  <si>
    <t>Less:Disposal/Sale</t>
  </si>
  <si>
    <t xml:space="preserve">Closing Gross Block </t>
  </si>
  <si>
    <t>Closing Net Block</t>
  </si>
  <si>
    <t>Depreciation for the year</t>
  </si>
  <si>
    <t xml:space="preserve">Plant and Equiment </t>
  </si>
  <si>
    <t>Accumulated depreciation on disposals</t>
  </si>
  <si>
    <t xml:space="preserve">Opening Accumulated Depreciation </t>
  </si>
  <si>
    <t>Ending Accumulated Depreciation</t>
  </si>
  <si>
    <t xml:space="preserve">Furniture and fittings </t>
  </si>
  <si>
    <t>Deletion on account of deemed disposal of Subsidiary</t>
  </si>
  <si>
    <t>Office Equiments</t>
  </si>
  <si>
    <t xml:space="preserve">Vechile </t>
  </si>
  <si>
    <t>Capital Work-in-progress</t>
  </si>
  <si>
    <t>Total Useful Life</t>
  </si>
  <si>
    <t>Age</t>
  </si>
  <si>
    <t>Remaining Useful Life</t>
  </si>
  <si>
    <t>Cl.Gross Block/Depri for the year</t>
  </si>
  <si>
    <t>Cl.Acc Depri/Depri for the year</t>
  </si>
  <si>
    <t>Cl.Net Bloc/Depri for the year</t>
  </si>
  <si>
    <t>Opening Gross Block/Revenue</t>
  </si>
  <si>
    <t>Capex Schedule</t>
  </si>
  <si>
    <t>Opening Gross Block/Revenue Marginal Decrease-</t>
  </si>
  <si>
    <t>Explicit-  To give benefit of economies of scale</t>
  </si>
  <si>
    <t>Capex/Number of new Store Opened</t>
  </si>
  <si>
    <t xml:space="preserve">Constant </t>
  </si>
  <si>
    <t xml:space="preserve">Capex/Number of new store </t>
  </si>
  <si>
    <t xml:space="preserve">Explicit- Capex to open new bouqtic store in Tier II cities will be less as compared to Tier I city </t>
  </si>
  <si>
    <t xml:space="preserve">Explicit </t>
  </si>
  <si>
    <t xml:space="preserve">Constant Average </t>
  </si>
  <si>
    <t xml:space="preserve">Total </t>
  </si>
  <si>
    <t>Vehicles</t>
  </si>
  <si>
    <t>Right of use asset</t>
  </si>
  <si>
    <t>Opening Balance</t>
  </si>
  <si>
    <t>Additions</t>
  </si>
  <si>
    <t>Deletions</t>
  </si>
  <si>
    <t>Depreciation expense</t>
  </si>
  <si>
    <t>Closing Balance</t>
  </si>
  <si>
    <t>Net Addition of ROU</t>
  </si>
  <si>
    <t>Net Addition to ROU per newly opened store</t>
  </si>
  <si>
    <t xml:space="preserve">Explicit- Company is targeting Tier II cities to open new shop so rental per new store will be less than before but also considering a incremental increase in rent accounting for inflation etc </t>
  </si>
  <si>
    <t>Lease Schedule</t>
  </si>
  <si>
    <t xml:space="preserve">Lease Liabilities </t>
  </si>
  <si>
    <t xml:space="preserve">Payment </t>
  </si>
  <si>
    <t>Payment towards Interest</t>
  </si>
  <si>
    <t>Payment towards Principal</t>
  </si>
  <si>
    <t>Rent Concession</t>
  </si>
  <si>
    <t xml:space="preserve">Towards Current </t>
  </si>
  <si>
    <t xml:space="preserve">Towards Non-Current </t>
  </si>
  <si>
    <t>Net addition to lease</t>
  </si>
  <si>
    <t xml:space="preserve">Effective Interest Rate </t>
  </si>
  <si>
    <t>Lease Tenor</t>
  </si>
  <si>
    <t>Interest expense on borrowings</t>
  </si>
  <si>
    <t>Interest on lease liabilities</t>
  </si>
  <si>
    <t>Interest on delay in deposit of income tax</t>
  </si>
  <si>
    <t>Other finance charges</t>
  </si>
  <si>
    <t>Other borrowing cost</t>
  </si>
  <si>
    <t>Includes overdue interest due on Micro Small and Medium Enterprises</t>
  </si>
  <si>
    <t>Includes, mark to mark (MTM) loss on forward contracts</t>
  </si>
  <si>
    <t xml:space="preserve">Interest Cost </t>
  </si>
  <si>
    <t xml:space="preserve">Interest Bearing Liabilities </t>
  </si>
  <si>
    <t>Total Borrowings</t>
  </si>
  <si>
    <t>Total Lease liability</t>
  </si>
  <si>
    <t>Total Interest Bearing Liabilities</t>
  </si>
  <si>
    <t xml:space="preserve">Effective Interest Rate on Borrowing </t>
  </si>
  <si>
    <t xml:space="preserve">Debt Schedule </t>
  </si>
  <si>
    <t>Explicit- as per the average rate. Capex loan =10.5% and Working Capital loan =14%</t>
  </si>
  <si>
    <t>Total Interest Cost</t>
  </si>
  <si>
    <t xml:space="preserve">Effective Tax Rate </t>
  </si>
  <si>
    <t xml:space="preserve">Dividend </t>
  </si>
  <si>
    <t>Dividend Paid</t>
  </si>
  <si>
    <t xml:space="preserve">Explicit- Company is in the growing phase and will reinvest all the profits </t>
  </si>
  <si>
    <t xml:space="preserve">Profit Transferred to Reserve </t>
  </si>
  <si>
    <t>Current Lease Liability/Total lease Liabilty</t>
  </si>
  <si>
    <t xml:space="preserve">Inventory </t>
  </si>
  <si>
    <t>Inventory Turnover Ratio</t>
  </si>
  <si>
    <t>Number of Days in Inventory</t>
  </si>
  <si>
    <t>365/Inventory Turnover Ratio</t>
  </si>
  <si>
    <t>WC Schedule</t>
  </si>
  <si>
    <t>Trade Receviable</t>
  </si>
  <si>
    <t>Trade Receivable Turnover Ratio</t>
  </si>
  <si>
    <t xml:space="preserve">Number of Days in Trade Receivable </t>
  </si>
  <si>
    <t xml:space="preserve">365/Average Trade Receivable </t>
  </si>
  <si>
    <t xml:space="preserve">Explicit- New stores in Tier II cities will take more time </t>
  </si>
  <si>
    <t>Trade Payable</t>
  </si>
  <si>
    <t xml:space="preserve">Merged with Dues outstanding of of micro enterprises and small enterprises &amp; others </t>
  </si>
  <si>
    <t>Purchases</t>
  </si>
  <si>
    <t>Closing Inventory +COGS-Opening Inventory</t>
  </si>
  <si>
    <t>Trade Payable Turnover Ratio</t>
  </si>
  <si>
    <t xml:space="preserve">Number of days of Trade Payable </t>
  </si>
  <si>
    <t>365/Trade Payable Turnover Ratio</t>
  </si>
  <si>
    <t>Explict - From numbers it seems like they get a credit period of 2 months</t>
  </si>
  <si>
    <t>Acquisition of property, plant and equipment</t>
  </si>
  <si>
    <t>Investment in bank deposits</t>
  </si>
  <si>
    <t>Including intangible assets,capital work in progress, intangible assets under development and capital advances</t>
  </si>
  <si>
    <t>Having original maturity of more than three months</t>
  </si>
  <si>
    <t xml:space="preserve">Average Remaining life of the lease </t>
  </si>
  <si>
    <t xml:space="preserve">On the Opening Balance </t>
  </si>
  <si>
    <t xml:space="preserve">Comparable Company Analysis </t>
  </si>
  <si>
    <t>Market Capitalisation (In Cr.)</t>
  </si>
  <si>
    <t>Net Sales 2025</t>
  </si>
  <si>
    <t>CFO before WC Adj/EBIDTA</t>
  </si>
  <si>
    <t xml:space="preserve">Gross Profit Margin </t>
  </si>
  <si>
    <t xml:space="preserve">Operating Profit Margin </t>
  </si>
  <si>
    <t xml:space="preserve">EBIDTA </t>
  </si>
  <si>
    <t xml:space="preserve">CFO </t>
  </si>
  <si>
    <t xml:space="preserve">CFO before WC Adj </t>
  </si>
  <si>
    <t>Net Profit Margin</t>
  </si>
  <si>
    <t xml:space="preserve">Number of Days in Inventory </t>
  </si>
  <si>
    <t xml:space="preserve">Return on Capital Employed </t>
  </si>
  <si>
    <t xml:space="preserve">Return on Equity </t>
  </si>
  <si>
    <t>PEG Ratio</t>
  </si>
  <si>
    <t>PSG Ratio</t>
  </si>
  <si>
    <t>Ethos Ltd.</t>
  </si>
  <si>
    <t>Trent Ltd</t>
  </si>
  <si>
    <t>Vedant Fashion Ltd</t>
  </si>
  <si>
    <t>Net Sales (TTM)</t>
  </si>
  <si>
    <t xml:space="preserve">CFO/EBIDTA Translation </t>
  </si>
  <si>
    <t>PE multiple (TTM)</t>
  </si>
  <si>
    <t>Price to Sales (TTM)</t>
  </si>
  <si>
    <t>Earning CAGR in 5 years (In %)</t>
  </si>
  <si>
    <t>Sales CAGR in 5 years(In %)</t>
  </si>
  <si>
    <t>Avenue Supermart</t>
  </si>
  <si>
    <t xml:space="preserve">Metro Brands </t>
  </si>
  <si>
    <t xml:space="preserve">Relative Valuation </t>
  </si>
  <si>
    <t>Number of Share Outstanding (Ending 2025)</t>
  </si>
  <si>
    <t>1 Year Trailing Sales (2025-26)</t>
  </si>
  <si>
    <t>Price to Sales (Trailing )</t>
  </si>
  <si>
    <t>Valuation Sheet</t>
  </si>
  <si>
    <t>PS/G Ratio</t>
  </si>
  <si>
    <t xml:space="preserve">Valuation Based on PS Multiple </t>
  </si>
  <si>
    <t xml:space="preserve">Valuation Per Share Base on PS Multiple </t>
  </si>
  <si>
    <t>1 Year Trailing PAT (2025-26)</t>
  </si>
  <si>
    <t>Estimated CAGR for next 4 years</t>
  </si>
  <si>
    <t xml:space="preserve">Estimated CAGR for next 4 years </t>
  </si>
  <si>
    <t xml:space="preserve">PEG Ratio </t>
  </si>
  <si>
    <t xml:space="preserve">PE Multiple </t>
  </si>
  <si>
    <t xml:space="preserve">Valution Based on PE Multiple </t>
  </si>
  <si>
    <t xml:space="preserve">Valution Per Share Based on PE Multiple </t>
  </si>
  <si>
    <t>FCFF</t>
  </si>
  <si>
    <t>FCFE</t>
  </si>
  <si>
    <t>Forecasted PAT for terminal year</t>
  </si>
  <si>
    <t>Forecasted Terminal PE</t>
  </si>
  <si>
    <t xml:space="preserve">Forecasted Terminal Value </t>
  </si>
  <si>
    <t xml:space="preserve">Total Cash flow </t>
  </si>
  <si>
    <t xml:space="preserve">Risk free Rate </t>
  </si>
  <si>
    <t xml:space="preserve">Equity Risk Premium </t>
  </si>
  <si>
    <t xml:space="preserve">Beta </t>
  </si>
  <si>
    <t xml:space="preserve">Cost of equity </t>
  </si>
  <si>
    <t>Valution Based on FCFE</t>
  </si>
  <si>
    <t>Dates</t>
  </si>
  <si>
    <t>2028-29 E</t>
  </si>
  <si>
    <t>Valuation Per Share based on FCFE</t>
  </si>
  <si>
    <t> 1,27,842.00</t>
  </si>
  <si>
    <t xml:space="preserve">Contribution of FCFE to Valuation </t>
  </si>
  <si>
    <t xml:space="preserve">Contribution of terminal value  to Valuation </t>
  </si>
  <si>
    <t xml:space="preserve">% of Contribution of FCFE to Valuation </t>
  </si>
  <si>
    <t xml:space="preserve">% of Contribution of terminal value to Valuation </t>
  </si>
  <si>
    <t>Absolute Valuation</t>
  </si>
  <si>
    <t>Discounted Cash Flow (DCF)</t>
  </si>
  <si>
    <t xml:space="preserve">Valuation </t>
  </si>
  <si>
    <t xml:space="preserve">Figures in lakhs </t>
  </si>
  <si>
    <t>Explicit- New stores in Tier II cities will take more time to clear stock initally but will eventually reduce due to brand recognition</t>
  </si>
  <si>
    <t>P N Gadgil jewellers</t>
  </si>
  <si>
    <t xml:space="preserve">Valuation Per Share </t>
  </si>
  <si>
    <t>Best Case Scenario</t>
  </si>
  <si>
    <t>Base Case Scenario</t>
  </si>
  <si>
    <t>Worst Case Scenario</t>
  </si>
  <si>
    <t>Explicit -As per management Guidance they are going to open 20 new stores every year  and will cross 100 stores by end of FY 2025-56 (Kept as Best Case Scenario)</t>
  </si>
  <si>
    <t>Explicit - Management Guidance SSG = 12% (Kept as best case )</t>
  </si>
  <si>
    <t>Scenario Analysis</t>
  </si>
  <si>
    <t xml:space="preserve">Average Valuation Per Share </t>
  </si>
  <si>
    <t>Assumption Sheet</t>
  </si>
  <si>
    <t xml:space="preserve">COGS/Cl. Inventory - No avg. inventory cause it's giving inconsistent number </t>
  </si>
  <si>
    <t>Revenue from operations/Cl. Trade Receivables</t>
  </si>
  <si>
    <t xml:space="preserve">Puchases/Cl. Trade Payable </t>
  </si>
  <si>
    <t>Capex Schdeule</t>
  </si>
  <si>
    <t>CF</t>
  </si>
  <si>
    <t>Debt Schedule</t>
  </si>
  <si>
    <t>Total Equity and Liabilites</t>
  </si>
  <si>
    <t xml:space="preserve">Capex Schedule </t>
  </si>
  <si>
    <t>Working Capital Schedule</t>
  </si>
  <si>
    <t xml:space="preserve">Lease Schedule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</si>
</sst>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0_ ;\-#,##0.00\ "/>
    <numFmt numFmtId="165" formatCode="0.0%"/>
    <numFmt numFmtId="166" formatCode="#,##0.0"/>
    <numFmt numFmtId="167" formatCode="#,##0.0000"/>
    <numFmt numFmtId="168" formatCode="[$-F800]dddd\,\ mmmm\ dd\,\ yyyy"/>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2060"/>
      <name val="Aptos Narrow"/>
      <family val="2"/>
      <scheme val="minor"/>
    </font>
    <font>
      <b/>
      <sz val="11"/>
      <color rgb="FF002060"/>
      <name val="Aptos Narrow"/>
      <family val="2"/>
      <scheme val="minor"/>
    </font>
    <font>
      <sz val="9"/>
      <color indexed="81"/>
      <name val="Tahoma"/>
      <family val="2"/>
    </font>
    <font>
      <b/>
      <sz val="9"/>
      <color indexed="81"/>
      <name val="Tahoma"/>
      <family val="2"/>
    </font>
    <font>
      <u/>
      <sz val="11"/>
      <color theme="10"/>
      <name val="Aptos Narrow"/>
      <family val="2"/>
      <scheme val="minor"/>
    </font>
    <font>
      <b/>
      <sz val="12"/>
      <color rgb="FF000000"/>
      <name val="Lora"/>
    </font>
    <font>
      <sz val="12"/>
      <color rgb="FF000000"/>
      <name val="Lora"/>
    </font>
    <font>
      <sz val="11"/>
      <color rgb="FF0070C0"/>
      <name val="Aptos Narrow"/>
      <family val="2"/>
      <scheme val="minor"/>
    </font>
    <font>
      <b/>
      <sz val="11"/>
      <color rgb="FF00B0F0"/>
      <name val="Aptos Narrow"/>
      <family val="2"/>
      <scheme val="minor"/>
    </font>
    <font>
      <sz val="11"/>
      <color rgb="FF00B0F0"/>
      <name val="Aptos Narrow"/>
      <family val="2"/>
      <scheme val="minor"/>
    </font>
    <font>
      <sz val="11"/>
      <name val="Aptos Narrow"/>
      <family val="2"/>
      <scheme val="minor"/>
    </font>
    <font>
      <sz val="8"/>
      <color rgb="FF22222F"/>
      <name val="Arial"/>
      <family val="2"/>
    </font>
    <font>
      <b/>
      <sz val="11"/>
      <name val="Aptos Narrow"/>
      <family val="2"/>
      <scheme val="minor"/>
    </font>
    <font>
      <sz val="8"/>
      <name val="Arial"/>
      <family val="2"/>
    </font>
    <font>
      <b/>
      <sz val="12"/>
      <color theme="1"/>
      <name val="Aptos Narrow"/>
      <family val="2"/>
      <scheme val="minor"/>
    </font>
    <font>
      <b/>
      <sz val="12"/>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125">
    <xf numFmtId="0" fontId="0" fillId="0" borderId="0" xfId="0"/>
    <xf numFmtId="0" fontId="0" fillId="0" borderId="0" xfId="0" applyAlignment="1">
      <alignment horizontal="left"/>
    </xf>
    <xf numFmtId="0" fontId="2" fillId="0" borderId="0" xfId="0" applyFont="1"/>
    <xf numFmtId="0" fontId="2" fillId="0" borderId="0" xfId="0" applyFont="1" applyAlignment="1">
      <alignment horizontal="left"/>
    </xf>
    <xf numFmtId="4" fontId="0" fillId="0" borderId="0" xfId="1" applyNumberFormat="1" applyFont="1" applyAlignment="1">
      <alignment horizontal="center" vertical="center"/>
    </xf>
    <xf numFmtId="4" fontId="3" fillId="0" borderId="0" xfId="1" applyNumberFormat="1" applyFont="1" applyAlignment="1">
      <alignment horizontal="center" vertical="center"/>
    </xf>
    <xf numFmtId="4" fontId="2" fillId="0" borderId="0" xfId="1" applyNumberFormat="1" applyFont="1" applyAlignment="1">
      <alignment horizontal="center" vertical="center"/>
    </xf>
    <xf numFmtId="4" fontId="1" fillId="0" borderId="0" xfId="1" applyNumberFormat="1" applyFont="1" applyAlignment="1">
      <alignment horizontal="center" vertical="center"/>
    </xf>
    <xf numFmtId="2" fontId="0" fillId="0" borderId="0" xfId="0" applyNumberFormat="1"/>
    <xf numFmtId="0" fontId="0" fillId="2" borderId="0" xfId="0" applyFill="1"/>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9" fontId="0" fillId="0" borderId="1" xfId="2" applyFont="1" applyBorder="1" applyAlignment="1">
      <alignment horizontal="center" vertical="center"/>
    </xf>
    <xf numFmtId="165" fontId="0" fillId="0" borderId="1" xfId="2" applyNumberFormat="1" applyFont="1" applyBorder="1" applyAlignment="1">
      <alignment horizontal="center" vertical="center"/>
    </xf>
    <xf numFmtId="4" fontId="0" fillId="0" borderId="1" xfId="1" applyNumberFormat="1" applyFont="1" applyBorder="1" applyAlignment="1">
      <alignment horizontal="center" vertical="center"/>
    </xf>
    <xf numFmtId="166" fontId="0" fillId="0" borderId="1" xfId="1" applyNumberFormat="1" applyFont="1" applyBorder="1" applyAlignment="1">
      <alignment horizontal="center" vertical="center"/>
    </xf>
    <xf numFmtId="4" fontId="0" fillId="0" borderId="0" xfId="1" applyNumberFormat="1" applyFont="1" applyBorder="1" applyAlignment="1">
      <alignment horizontal="center" vertical="center"/>
    </xf>
    <xf numFmtId="166" fontId="0" fillId="0" borderId="0" xfId="1" applyNumberFormat="1" applyFont="1" applyBorder="1" applyAlignment="1">
      <alignment horizontal="center" vertical="center"/>
    </xf>
    <xf numFmtId="0" fontId="7" fillId="0" borderId="0" xfId="3"/>
    <xf numFmtId="0" fontId="8" fillId="0" borderId="0" xfId="0" applyFont="1"/>
    <xf numFmtId="9" fontId="0" fillId="0" borderId="1" xfId="0" applyNumberFormat="1" applyBorder="1" applyAlignment="1">
      <alignment horizontal="center" vertical="center"/>
    </xf>
    <xf numFmtId="9" fontId="0" fillId="0" borderId="0" xfId="2" applyFont="1"/>
    <xf numFmtId="10" fontId="0" fillId="0" borderId="0" xfId="2" applyNumberFormat="1" applyFont="1" applyAlignment="1">
      <alignment horizontal="center" vertical="center"/>
    </xf>
    <xf numFmtId="10" fontId="10" fillId="0" borderId="0" xfId="2" applyNumberFormat="1" applyFont="1" applyAlignment="1">
      <alignment horizontal="center" vertical="center"/>
    </xf>
    <xf numFmtId="4" fontId="12" fillId="0" borderId="0" xfId="1" applyNumberFormat="1" applyFont="1" applyAlignment="1">
      <alignment horizontal="center" vertical="center"/>
    </xf>
    <xf numFmtId="10" fontId="12" fillId="0" borderId="0" xfId="2" applyNumberFormat="1" applyFont="1" applyAlignment="1">
      <alignment horizontal="center" vertical="center"/>
    </xf>
    <xf numFmtId="0" fontId="2" fillId="3" borderId="0" xfId="0" applyFont="1" applyFill="1" applyAlignment="1">
      <alignment horizontal="left"/>
    </xf>
    <xf numFmtId="4" fontId="0" fillId="3" borderId="0" xfId="1" applyNumberFormat="1" applyFont="1" applyFill="1" applyAlignment="1">
      <alignment horizontal="center" vertical="center"/>
    </xf>
    <xf numFmtId="10" fontId="0" fillId="3" borderId="0" xfId="2" applyNumberFormat="1" applyFont="1" applyFill="1" applyAlignment="1">
      <alignment horizontal="center" vertical="center"/>
    </xf>
    <xf numFmtId="4" fontId="2" fillId="3" borderId="0" xfId="1" applyNumberFormat="1" applyFont="1" applyFill="1" applyAlignment="1">
      <alignment horizontal="center" vertical="center"/>
    </xf>
    <xf numFmtId="4" fontId="11" fillId="3" borderId="0" xfId="1" applyNumberFormat="1" applyFont="1" applyFill="1"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2" fillId="0" borderId="0" xfId="0" applyFont="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xf>
    <xf numFmtId="10" fontId="13" fillId="0" borderId="0" xfId="2" applyNumberFormat="1" applyFont="1" applyAlignment="1">
      <alignment horizontal="center" vertical="center"/>
    </xf>
    <xf numFmtId="9" fontId="0" fillId="0" borderId="0" xfId="2" applyFont="1" applyAlignment="1">
      <alignment horizontal="center" vertical="center"/>
    </xf>
    <xf numFmtId="10" fontId="0" fillId="0" borderId="0" xfId="2" applyNumberFormat="1" applyFont="1" applyAlignment="1">
      <alignment horizontal="left" vertical="center"/>
    </xf>
    <xf numFmtId="9" fontId="12" fillId="0" borderId="0" xfId="2" applyFont="1" applyAlignment="1">
      <alignment horizontal="center" vertical="center"/>
    </xf>
    <xf numFmtId="3" fontId="0" fillId="0" borderId="0" xfId="1" applyNumberFormat="1" applyFont="1" applyAlignment="1">
      <alignment horizontal="center" vertical="center"/>
    </xf>
    <xf numFmtId="4" fontId="11" fillId="0" borderId="0" xfId="1" applyNumberFormat="1" applyFont="1" applyAlignment="1">
      <alignment horizontal="center" vertical="center"/>
    </xf>
    <xf numFmtId="4" fontId="2" fillId="0" borderId="0" xfId="1" applyNumberFormat="1" applyFont="1" applyFill="1" applyAlignment="1">
      <alignment horizontal="center" vertical="center"/>
    </xf>
    <xf numFmtId="4" fontId="11" fillId="0" borderId="0" xfId="1" applyNumberFormat="1" applyFont="1" applyFill="1" applyAlignment="1">
      <alignment horizontal="center" vertical="center"/>
    </xf>
    <xf numFmtId="4" fontId="1" fillId="0" borderId="0" xfId="1" applyNumberFormat="1" applyFont="1" applyFill="1" applyAlignment="1">
      <alignment horizontal="center" vertical="center"/>
    </xf>
    <xf numFmtId="4" fontId="0" fillId="0" borderId="0" xfId="0" applyNumberFormat="1"/>
    <xf numFmtId="4" fontId="0" fillId="0" borderId="0" xfId="1" applyNumberFormat="1" applyFont="1" applyFill="1" applyAlignment="1">
      <alignment horizontal="center" vertical="center"/>
    </xf>
    <xf numFmtId="4" fontId="12" fillId="0" borderId="0" xfId="1" applyNumberFormat="1" applyFont="1" applyFill="1" applyAlignment="1">
      <alignment horizontal="center" vertical="center"/>
    </xf>
    <xf numFmtId="4" fontId="2" fillId="0" borderId="0" xfId="0" applyNumberFormat="1" applyFont="1"/>
    <xf numFmtId="43" fontId="0" fillId="0" borderId="0" xfId="1" applyFont="1" applyAlignment="1">
      <alignment horizontal="center" vertical="center"/>
    </xf>
    <xf numFmtId="0" fontId="0" fillId="3" borderId="0" xfId="0" applyFill="1" applyAlignment="1">
      <alignment horizontal="left"/>
    </xf>
    <xf numFmtId="4" fontId="12" fillId="3" borderId="0" xfId="1" applyNumberFormat="1" applyFont="1" applyFill="1" applyAlignment="1">
      <alignment horizontal="center" vertical="center"/>
    </xf>
    <xf numFmtId="165" fontId="0" fillId="0" borderId="0" xfId="2" applyNumberFormat="1" applyFont="1" applyAlignment="1">
      <alignment horizontal="center" vertical="center"/>
    </xf>
    <xf numFmtId="2" fontId="12" fillId="0" borderId="0" xfId="2" applyNumberFormat="1" applyFont="1" applyAlignment="1">
      <alignment horizontal="center" vertical="center"/>
    </xf>
    <xf numFmtId="0" fontId="2" fillId="3" borderId="0" xfId="0" applyFont="1" applyFill="1" applyAlignment="1">
      <alignment horizontal="left" vertical="center"/>
    </xf>
    <xf numFmtId="0" fontId="0" fillId="3" borderId="0" xfId="0" applyFill="1" applyAlignment="1">
      <alignment horizontal="left" vertical="center"/>
    </xf>
    <xf numFmtId="167" fontId="0" fillId="0" borderId="0" xfId="1" applyNumberFormat="1" applyFont="1" applyAlignment="1">
      <alignment horizontal="center" vertical="center"/>
    </xf>
    <xf numFmtId="4" fontId="4" fillId="3" borderId="0" xfId="1" applyNumberFormat="1" applyFont="1" applyFill="1" applyAlignment="1">
      <alignment horizontal="center" vertical="center"/>
    </xf>
    <xf numFmtId="0" fontId="0" fillId="0" borderId="0" xfId="0" applyAlignment="1">
      <alignment horizontal="center"/>
    </xf>
    <xf numFmtId="1" fontId="0" fillId="0" borderId="0" xfId="0" applyNumberFormat="1" applyAlignment="1">
      <alignment horizontal="center" vertical="center"/>
    </xf>
    <xf numFmtId="2" fontId="0" fillId="0" borderId="0" xfId="0" applyNumberFormat="1" applyAlignment="1">
      <alignment horizontal="center"/>
    </xf>
    <xf numFmtId="2" fontId="0" fillId="0" borderId="0" xfId="0" applyNumberFormat="1" applyAlignment="1">
      <alignment horizontal="center" vertical="center"/>
    </xf>
    <xf numFmtId="4" fontId="12" fillId="0" borderId="0" xfId="0" applyNumberFormat="1" applyFont="1" applyAlignment="1">
      <alignment horizontal="center"/>
    </xf>
    <xf numFmtId="164" fontId="0" fillId="0" borderId="0" xfId="0" applyNumberFormat="1" applyAlignment="1">
      <alignment horizontal="center" vertical="center"/>
    </xf>
    <xf numFmtId="4" fontId="11" fillId="0" borderId="0" xfId="0" applyNumberFormat="1" applyFont="1" applyAlignment="1">
      <alignment horizontal="center" vertical="center"/>
    </xf>
    <xf numFmtId="4" fontId="2" fillId="0" borderId="0" xfId="0" applyNumberFormat="1" applyFont="1" applyAlignment="1">
      <alignment horizontal="center" vertical="center"/>
    </xf>
    <xf numFmtId="164" fontId="2" fillId="0" borderId="0" xfId="1" applyNumberFormat="1" applyFont="1" applyAlignment="1">
      <alignment horizontal="center" vertical="center"/>
    </xf>
    <xf numFmtId="164" fontId="11" fillId="0" borderId="0" xfId="1" applyNumberFormat="1" applyFont="1" applyAlignment="1">
      <alignment horizontal="center" vertical="center"/>
    </xf>
    <xf numFmtId="164" fontId="0" fillId="0" borderId="0" xfId="1" applyNumberFormat="1" applyFont="1" applyAlignment="1">
      <alignment horizontal="center" vertical="center"/>
    </xf>
    <xf numFmtId="164" fontId="12" fillId="0" borderId="0" xfId="1" applyNumberFormat="1" applyFont="1" applyAlignment="1">
      <alignment horizontal="center" vertical="center"/>
    </xf>
    <xf numFmtId="164" fontId="1" fillId="0" borderId="0" xfId="1" applyNumberFormat="1" applyFont="1" applyAlignment="1">
      <alignment horizontal="center" vertical="center"/>
    </xf>
    <xf numFmtId="164" fontId="2" fillId="3" borderId="0" xfId="1" applyNumberFormat="1" applyFont="1" applyFill="1" applyAlignment="1">
      <alignment horizontal="center" vertical="center"/>
    </xf>
    <xf numFmtId="164" fontId="11" fillId="3" borderId="0" xfId="1" applyNumberFormat="1" applyFont="1" applyFill="1" applyAlignment="1">
      <alignment horizontal="center" vertical="center"/>
    </xf>
    <xf numFmtId="4" fontId="0" fillId="0" borderId="0" xfId="0" applyNumberFormat="1" applyAlignment="1">
      <alignment horizontal="center" vertical="center"/>
    </xf>
    <xf numFmtId="4" fontId="12" fillId="0" borderId="0" xfId="0" applyNumberFormat="1" applyFont="1" applyAlignment="1">
      <alignment horizontal="center" vertical="center"/>
    </xf>
    <xf numFmtId="4" fontId="3" fillId="0" borderId="0" xfId="1" applyNumberFormat="1" applyFont="1" applyFill="1" applyAlignment="1">
      <alignment horizontal="center" vertical="center"/>
    </xf>
    <xf numFmtId="166" fontId="12" fillId="0" borderId="0" xfId="1" applyNumberFormat="1" applyFont="1" applyFill="1" applyAlignment="1">
      <alignment horizontal="center" vertical="center"/>
    </xf>
    <xf numFmtId="4" fontId="13" fillId="0" borderId="0" xfId="0" applyNumberFormat="1" applyFont="1" applyAlignment="1">
      <alignment horizontal="center" vertical="center"/>
    </xf>
    <xf numFmtId="0" fontId="13" fillId="0" borderId="0" xfId="0" applyFont="1" applyAlignment="1">
      <alignment horizontal="center" vertical="center"/>
    </xf>
    <xf numFmtId="4" fontId="13" fillId="0" borderId="0" xfId="1" applyNumberFormat="1" applyFont="1" applyFill="1" applyAlignment="1">
      <alignment horizontal="center" vertical="center"/>
    </xf>
    <xf numFmtId="4" fontId="13" fillId="0" borderId="0" xfId="1" applyNumberFormat="1" applyFont="1" applyAlignment="1">
      <alignment horizontal="center" vertical="center"/>
    </xf>
    <xf numFmtId="4" fontId="1" fillId="3" borderId="0" xfId="1" applyNumberFormat="1" applyFont="1" applyFill="1" applyAlignment="1">
      <alignment horizontal="center" vertical="center"/>
    </xf>
    <xf numFmtId="43" fontId="12" fillId="0" borderId="0" xfId="1" applyFont="1" applyAlignment="1">
      <alignment horizontal="center" vertical="center"/>
    </xf>
    <xf numFmtId="3" fontId="0" fillId="0" borderId="0" xfId="0" applyNumberFormat="1" applyAlignment="1">
      <alignment horizontal="center" vertical="center"/>
    </xf>
    <xf numFmtId="0" fontId="12" fillId="0" borderId="0" xfId="0" applyFont="1" applyAlignment="1">
      <alignment horizontal="center" vertical="center"/>
    </xf>
    <xf numFmtId="43" fontId="2" fillId="0" borderId="0" xfId="1" applyFont="1" applyAlignment="1">
      <alignment horizontal="center" vertical="center"/>
    </xf>
    <xf numFmtId="0" fontId="11" fillId="0" borderId="0" xfId="0" applyFont="1" applyAlignment="1">
      <alignment horizontal="center" vertical="center" wrapText="1"/>
    </xf>
    <xf numFmtId="0" fontId="11" fillId="0" borderId="0" xfId="0" applyFont="1"/>
    <xf numFmtId="0" fontId="2" fillId="3" borderId="0" xfId="0" applyFont="1" applyFill="1"/>
    <xf numFmtId="9" fontId="14" fillId="0" borderId="0" xfId="0" applyNumberFormat="1" applyFont="1" applyAlignment="1">
      <alignment horizontal="center" vertical="center"/>
    </xf>
    <xf numFmtId="4" fontId="15" fillId="3" borderId="0" xfId="1" applyNumberFormat="1" applyFont="1" applyFill="1" applyAlignment="1">
      <alignment horizontal="center" vertical="center"/>
    </xf>
    <xf numFmtId="4" fontId="15" fillId="0" borderId="0" xfId="1" applyNumberFormat="1" applyFont="1" applyAlignment="1">
      <alignment horizontal="center" vertical="center"/>
    </xf>
    <xf numFmtId="0" fontId="15" fillId="0" borderId="0" xfId="0" applyFont="1" applyAlignment="1">
      <alignment horizontal="center" vertical="center"/>
    </xf>
    <xf numFmtId="0" fontId="2" fillId="3" borderId="0" xfId="0" applyFont="1" applyFill="1" applyAlignment="1">
      <alignment horizontal="center" vertical="center"/>
    </xf>
    <xf numFmtId="0" fontId="0" fillId="0" borderId="2" xfId="0" applyBorder="1" applyAlignment="1">
      <alignment horizontal="left"/>
    </xf>
    <xf numFmtId="0" fontId="0" fillId="0" borderId="2" xfId="0" applyBorder="1" applyAlignment="1">
      <alignment horizontal="center" vertical="center"/>
    </xf>
    <xf numFmtId="4" fontId="13" fillId="0" borderId="2" xfId="1" applyNumberFormat="1" applyFont="1" applyBorder="1" applyAlignment="1">
      <alignment horizontal="center" vertical="center"/>
    </xf>
    <xf numFmtId="10" fontId="0" fillId="0" borderId="0" xfId="0" applyNumberFormat="1" applyAlignment="1">
      <alignment horizontal="left" vertical="center"/>
    </xf>
    <xf numFmtId="10" fontId="0" fillId="0" borderId="0" xfId="0" applyNumberFormat="1" applyAlignment="1">
      <alignment horizontal="center" vertical="center"/>
    </xf>
    <xf numFmtId="4" fontId="13" fillId="0" borderId="0" xfId="2" applyNumberFormat="1" applyFont="1" applyAlignment="1">
      <alignment horizontal="center" vertical="center"/>
    </xf>
    <xf numFmtId="2" fontId="12" fillId="0" borderId="0" xfId="1" applyNumberFormat="1" applyFont="1" applyAlignment="1">
      <alignment horizontal="center" vertical="center"/>
    </xf>
    <xf numFmtId="164" fontId="13" fillId="0" borderId="0" xfId="0" applyNumberFormat="1" applyFont="1" applyAlignment="1">
      <alignment horizontal="center"/>
    </xf>
    <xf numFmtId="164" fontId="13" fillId="0" borderId="2" xfId="1" applyNumberFormat="1" applyFont="1" applyBorder="1" applyAlignment="1">
      <alignment horizontal="center" vertical="center"/>
    </xf>
    <xf numFmtId="164" fontId="13" fillId="0" borderId="0" xfId="1" applyNumberFormat="1" applyFont="1" applyAlignment="1">
      <alignment horizontal="center" vertical="center"/>
    </xf>
    <xf numFmtId="10" fontId="0" fillId="4" borderId="0" xfId="2" applyNumberFormat="1" applyFont="1" applyFill="1" applyAlignment="1">
      <alignment horizontal="center" vertical="center"/>
    </xf>
    <xf numFmtId="0" fontId="2" fillId="0" borderId="2" xfId="0" applyFont="1" applyBorder="1" applyAlignment="1">
      <alignment horizontal="left"/>
    </xf>
    <xf numFmtId="0" fontId="2" fillId="0" borderId="2" xfId="0" applyFont="1" applyBorder="1" applyAlignment="1">
      <alignment horizontal="center" vertical="center"/>
    </xf>
    <xf numFmtId="4" fontId="15" fillId="0" borderId="2" xfId="1" applyNumberFormat="1" applyFont="1" applyBorder="1" applyAlignment="1">
      <alignment horizontal="center" vertical="center"/>
    </xf>
    <xf numFmtId="164" fontId="15" fillId="0" borderId="2" xfId="1" applyNumberFormat="1" applyFont="1" applyBorder="1" applyAlignment="1">
      <alignment horizontal="center" vertical="center"/>
    </xf>
    <xf numFmtId="168" fontId="15" fillId="0" borderId="0" xfId="1" applyNumberFormat="1" applyFont="1" applyAlignment="1">
      <alignment horizontal="center" vertical="center"/>
    </xf>
    <xf numFmtId="0" fontId="15" fillId="0" borderId="0" xfId="0" applyFont="1"/>
    <xf numFmtId="9" fontId="16" fillId="0" borderId="0" xfId="0" applyNumberFormat="1" applyFont="1" applyAlignment="1">
      <alignment horizontal="center" vertical="center"/>
    </xf>
    <xf numFmtId="2" fontId="13" fillId="0" borderId="0" xfId="1" applyNumberFormat="1" applyFont="1" applyAlignment="1">
      <alignment horizontal="center" vertical="center"/>
    </xf>
    <xf numFmtId="0" fontId="0" fillId="0" borderId="0" xfId="0" applyAlignment="1">
      <alignment horizontal="left" vertical="center" wrapText="1"/>
    </xf>
    <xf numFmtId="0" fontId="17" fillId="5" borderId="0" xfId="0" applyFont="1" applyFill="1" applyAlignment="1">
      <alignment horizontal="left"/>
    </xf>
    <xf numFmtId="4" fontId="18" fillId="5" borderId="0" xfId="1" applyNumberFormat="1" applyFont="1" applyFill="1" applyBorder="1" applyAlignment="1">
      <alignment horizontal="center" vertical="center"/>
    </xf>
    <xf numFmtId="9" fontId="0" fillId="0" borderId="0" xfId="0" applyNumberFormat="1" applyAlignment="1">
      <alignment horizontal="left"/>
    </xf>
    <xf numFmtId="164" fontId="2" fillId="0" borderId="0" xfId="1" applyNumberFormat="1" applyFont="1" applyFill="1" applyAlignment="1">
      <alignment horizontal="center" vertical="center"/>
    </xf>
    <xf numFmtId="164" fontId="11" fillId="0" borderId="0" xfId="1" applyNumberFormat="1" applyFont="1" applyFill="1" applyAlignment="1">
      <alignment horizontal="center" vertical="center"/>
    </xf>
    <xf numFmtId="4" fontId="2" fillId="3" borderId="0" xfId="0" applyNumberFormat="1" applyFont="1" applyFill="1" applyAlignment="1">
      <alignment horizontal="center" vertical="center"/>
    </xf>
    <xf numFmtId="4" fontId="0" fillId="0" borderId="0" xfId="1" applyNumberFormat="1" applyFont="1" applyAlignment="1" applyProtection="1">
      <alignment horizontal="center" vertical="center"/>
      <protection locked="0"/>
    </xf>
    <xf numFmtId="10" fontId="0" fillId="0" borderId="0" xfId="2" applyNumberFormat="1" applyFont="1" applyAlignment="1">
      <alignment horizontal="center" vertical="center"/>
    </xf>
    <xf numFmtId="0" fontId="2" fillId="3" borderId="1" xfId="0" applyFont="1" applyFill="1" applyBorder="1" applyAlignment="1" applyProtection="1">
      <alignment horizontal="center" vertical="center"/>
      <protection locked="0"/>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272006</xdr:colOff>
      <xdr:row>20</xdr:row>
      <xdr:rowOff>129540</xdr:rowOff>
    </xdr:from>
    <xdr:to>
      <xdr:col>9</xdr:col>
      <xdr:colOff>439276</xdr:colOff>
      <xdr:row>34</xdr:row>
      <xdr:rowOff>174130</xdr:rowOff>
    </xdr:to>
    <xdr:pic>
      <xdr:nvPicPr>
        <xdr:cNvPr id="2" name="Picture 1">
          <a:extLst>
            <a:ext uri="{FF2B5EF4-FFF2-40B4-BE49-F238E27FC236}">
              <a16:creationId xmlns:a16="http://schemas.microsoft.com/office/drawing/2014/main" id="{BB6C6456-2AF2-F8EA-405B-E381E66F3376}"/>
            </a:ext>
          </a:extLst>
        </xdr:cNvPr>
        <xdr:cNvPicPr>
          <a:picLocks noChangeAspect="1"/>
        </xdr:cNvPicPr>
      </xdr:nvPicPr>
      <xdr:blipFill>
        <a:blip xmlns:r="http://schemas.openxmlformats.org/officeDocument/2006/relationships" r:embed="rId1"/>
        <a:stretch>
          <a:fillRect/>
        </a:stretch>
      </xdr:blipFill>
      <xdr:spPr>
        <a:xfrm>
          <a:off x="272006" y="861060"/>
          <a:ext cx="7247280" cy="2604910"/>
        </a:xfrm>
        <a:prstGeom prst="rect">
          <a:avLst/>
        </a:prstGeom>
        <a:ln>
          <a:solidFill>
            <a:sysClr val="windowText" lastClr="000000"/>
          </a:solidFill>
        </a:ln>
      </xdr:spPr>
    </xdr:pic>
    <xdr:clientData/>
  </xdr:twoCellAnchor>
  <xdr:twoCellAnchor editAs="oneCell">
    <xdr:from>
      <xdr:col>9</xdr:col>
      <xdr:colOff>533446</xdr:colOff>
      <xdr:row>20</xdr:row>
      <xdr:rowOff>114559</xdr:rowOff>
    </xdr:from>
    <xdr:to>
      <xdr:col>21</xdr:col>
      <xdr:colOff>78636</xdr:colOff>
      <xdr:row>33</xdr:row>
      <xdr:rowOff>135652</xdr:rowOff>
    </xdr:to>
    <xdr:pic>
      <xdr:nvPicPr>
        <xdr:cNvPr id="3" name="Picture 2">
          <a:extLst>
            <a:ext uri="{FF2B5EF4-FFF2-40B4-BE49-F238E27FC236}">
              <a16:creationId xmlns:a16="http://schemas.microsoft.com/office/drawing/2014/main" id="{9C85AEF3-6682-2C9C-CA62-1ED10058321A}"/>
            </a:ext>
          </a:extLst>
        </xdr:cNvPr>
        <xdr:cNvPicPr>
          <a:picLocks noChangeAspect="1"/>
        </xdr:cNvPicPr>
      </xdr:nvPicPr>
      <xdr:blipFill>
        <a:blip xmlns:r="http://schemas.openxmlformats.org/officeDocument/2006/relationships" r:embed="rId2"/>
        <a:stretch>
          <a:fillRect/>
        </a:stretch>
      </xdr:blipFill>
      <xdr:spPr>
        <a:xfrm>
          <a:off x="7634281" y="3798955"/>
          <a:ext cx="6880487" cy="2415950"/>
        </a:xfrm>
        <a:prstGeom prst="rect">
          <a:avLst/>
        </a:prstGeom>
        <a:ln>
          <a:solidFill>
            <a:sysClr val="windowText" lastClr="000000"/>
          </a:solidFill>
        </a:ln>
      </xdr:spPr>
    </xdr:pic>
    <xdr:clientData/>
  </xdr:twoCellAnchor>
  <xdr:twoCellAnchor editAs="oneCell">
    <xdr:from>
      <xdr:col>9</xdr:col>
      <xdr:colOff>411480</xdr:colOff>
      <xdr:row>5</xdr:row>
      <xdr:rowOff>178268</xdr:rowOff>
    </xdr:from>
    <xdr:to>
      <xdr:col>18</xdr:col>
      <xdr:colOff>594778</xdr:colOff>
      <xdr:row>18</xdr:row>
      <xdr:rowOff>46639</xdr:rowOff>
    </xdr:to>
    <xdr:pic>
      <xdr:nvPicPr>
        <xdr:cNvPr id="4" name="Picture 3">
          <a:extLst>
            <a:ext uri="{FF2B5EF4-FFF2-40B4-BE49-F238E27FC236}">
              <a16:creationId xmlns:a16="http://schemas.microsoft.com/office/drawing/2014/main" id="{76E51C5F-CF6D-1803-06E8-5A92090B7D52}"/>
            </a:ext>
          </a:extLst>
        </xdr:cNvPr>
        <xdr:cNvPicPr>
          <a:picLocks noChangeAspect="1"/>
        </xdr:cNvPicPr>
      </xdr:nvPicPr>
      <xdr:blipFill>
        <a:blip xmlns:r="http://schemas.openxmlformats.org/officeDocument/2006/relationships" r:embed="rId3"/>
        <a:stretch>
          <a:fillRect/>
        </a:stretch>
      </xdr:blipFill>
      <xdr:spPr>
        <a:xfrm>
          <a:off x="7680960" y="1092668"/>
          <a:ext cx="5669698" cy="2245811"/>
        </a:xfrm>
        <a:prstGeom prst="rect">
          <a:avLst/>
        </a:prstGeom>
        <a:ln>
          <a:solidFill>
            <a:sysClr val="windowText" lastClr="000000"/>
          </a:solidFill>
        </a:ln>
      </xdr:spPr>
    </xdr:pic>
    <xdr:clientData/>
  </xdr:twoCellAnchor>
  <xdr:twoCellAnchor editAs="oneCell">
    <xdr:from>
      <xdr:col>13</xdr:col>
      <xdr:colOff>535663</xdr:colOff>
      <xdr:row>34</xdr:row>
      <xdr:rowOff>19377</xdr:rowOff>
    </xdr:from>
    <xdr:to>
      <xdr:col>18</xdr:col>
      <xdr:colOff>582441</xdr:colOff>
      <xdr:row>42</xdr:row>
      <xdr:rowOff>118156</xdr:rowOff>
    </xdr:to>
    <xdr:pic>
      <xdr:nvPicPr>
        <xdr:cNvPr id="5" name="Picture 4">
          <a:extLst>
            <a:ext uri="{FF2B5EF4-FFF2-40B4-BE49-F238E27FC236}">
              <a16:creationId xmlns:a16="http://schemas.microsoft.com/office/drawing/2014/main" id="{C423BABE-5C07-9EE9-07ED-B865756A910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60594" y="5994664"/>
          <a:ext cx="3102321" cy="2045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watchtime.in/articles/news/2140/ethos-watches-city-of-time-in-gurugra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5267-8AAE-49B1-8ABA-A3D54AE8BA76}">
  <sheetPr>
    <pageSetUpPr autoPageBreaks="0"/>
  </sheetPr>
  <dimension ref="A1:J85"/>
  <sheetViews>
    <sheetView showGridLines="0" tabSelected="1" zoomScale="92" workbookViewId="0">
      <pane xSplit="2" ySplit="3" topLeftCell="C4" activePane="bottomRight" state="frozen"/>
      <selection pane="topRight" activeCell="C1" sqref="C1"/>
      <selection pane="bottomLeft" activeCell="A4" sqref="A4"/>
      <selection pane="bottomRight" activeCell="M11" sqref="M11"/>
    </sheetView>
  </sheetViews>
  <sheetFormatPr defaultRowHeight="14.4" x14ac:dyDescent="0.3"/>
  <cols>
    <col min="1" max="1" width="59.88671875" style="34" bestFit="1" customWidth="1"/>
    <col min="2" max="2" width="17.77734375" style="34" customWidth="1"/>
    <col min="3" max="6" width="12.44140625" style="4" bestFit="1" customWidth="1"/>
    <col min="7" max="7" width="8.88671875" style="26"/>
    <col min="8" max="8" width="9" style="26" bestFit="1" customWidth="1"/>
    <col min="9" max="10" width="8.88671875" style="26"/>
  </cols>
  <sheetData>
    <row r="1" spans="1:10" s="2" customFormat="1" ht="18" customHeight="1" x14ac:dyDescent="0.3">
      <c r="A1" s="33" t="s">
        <v>385</v>
      </c>
      <c r="B1" s="33"/>
      <c r="C1" s="35"/>
      <c r="D1" s="35"/>
      <c r="E1" s="35"/>
      <c r="F1" s="35"/>
      <c r="G1" s="36"/>
      <c r="H1" s="36"/>
      <c r="I1" s="36"/>
      <c r="J1" s="36"/>
    </row>
    <row r="2" spans="1:10" s="2" customFormat="1" x14ac:dyDescent="0.3">
      <c r="A2" s="33" t="s">
        <v>0</v>
      </c>
      <c r="B2" s="33"/>
      <c r="C2" s="35"/>
      <c r="D2" s="35"/>
      <c r="E2" s="35"/>
      <c r="F2" s="35"/>
      <c r="G2" s="36"/>
      <c r="H2" s="36"/>
      <c r="I2" s="36"/>
      <c r="J2" s="36"/>
    </row>
    <row r="3" spans="1:10" s="2" customFormat="1" x14ac:dyDescent="0.3">
      <c r="A3" s="33" t="s">
        <v>9</v>
      </c>
      <c r="B3" s="33" t="s">
        <v>1</v>
      </c>
      <c r="C3" s="35" t="s">
        <v>2</v>
      </c>
      <c r="D3" s="35" t="s">
        <v>3</v>
      </c>
      <c r="E3" s="35" t="s">
        <v>51</v>
      </c>
      <c r="F3" s="35" t="s">
        <v>4</v>
      </c>
      <c r="G3" s="36" t="s">
        <v>5</v>
      </c>
      <c r="H3" s="36" t="s">
        <v>6</v>
      </c>
      <c r="I3" s="36" t="s">
        <v>7</v>
      </c>
      <c r="J3" s="36" t="s">
        <v>364</v>
      </c>
    </row>
    <row r="5" spans="1:10" x14ac:dyDescent="0.3">
      <c r="A5" s="56" t="s">
        <v>155</v>
      </c>
      <c r="B5" s="57"/>
      <c r="C5" s="29"/>
      <c r="D5" s="29"/>
      <c r="E5" s="29"/>
      <c r="F5" s="29"/>
      <c r="G5" s="53"/>
      <c r="H5" s="53"/>
      <c r="I5" s="53"/>
      <c r="J5" s="53"/>
    </row>
    <row r="7" spans="1:10" x14ac:dyDescent="0.3">
      <c r="A7" s="34" t="s">
        <v>172</v>
      </c>
      <c r="B7" s="34" t="s">
        <v>177</v>
      </c>
      <c r="C7" s="24" t="s">
        <v>11</v>
      </c>
      <c r="D7" s="24">
        <f>('Revenue Model'!D9/'Revenue Model'!C9)-1</f>
        <v>1.1172037855910357</v>
      </c>
      <c r="E7" s="24">
        <f>('Revenue Model'!E9/'Revenue Model'!D9)-1</f>
        <v>0.22603073069305313</v>
      </c>
      <c r="F7" s="24">
        <f>('Revenue Model'!F9/'Revenue Model'!E9)-1</f>
        <v>0.78327994018504588</v>
      </c>
      <c r="G7" s="27">
        <v>0.3</v>
      </c>
      <c r="H7" s="27">
        <v>0.3</v>
      </c>
      <c r="I7" s="27">
        <v>0.3</v>
      </c>
      <c r="J7" s="27">
        <v>0.3</v>
      </c>
    </row>
    <row r="8" spans="1:10" x14ac:dyDescent="0.3">
      <c r="C8" s="24"/>
      <c r="D8" s="24"/>
      <c r="E8" s="24"/>
      <c r="F8" s="24"/>
      <c r="G8" s="27"/>
      <c r="H8" s="27"/>
      <c r="I8" s="27"/>
      <c r="J8" s="27"/>
    </row>
    <row r="9" spans="1:10" x14ac:dyDescent="0.3">
      <c r="A9" s="34" t="str">
        <f>'Revenue Model'!A12</f>
        <v>Number of Stores</v>
      </c>
      <c r="B9" s="34" t="s">
        <v>381</v>
      </c>
      <c r="C9" s="37">
        <f>'Revenue Model'!C12</f>
        <v>50</v>
      </c>
      <c r="D9" s="37">
        <f>'Revenue Model'!D12</f>
        <v>56</v>
      </c>
      <c r="E9" s="37">
        <f>'Revenue Model'!E12</f>
        <v>63</v>
      </c>
      <c r="F9" s="37">
        <f>'Revenue Model'!F12</f>
        <v>73</v>
      </c>
      <c r="G9" s="26">
        <f>CHOOSE('Scenario Analysis'!$B$7,'Scenario Analysis'!G8,'Scenario Analysis'!G9,'Scenario Analysis'!G10)</f>
        <v>100</v>
      </c>
      <c r="H9" s="26">
        <f>CHOOSE('Scenario Analysis'!$B$7,'Scenario Analysis'!H8,'Scenario Analysis'!H9,'Scenario Analysis'!H10)</f>
        <v>108</v>
      </c>
      <c r="I9" s="26">
        <f>CHOOSE('Scenario Analysis'!$B$7,'Scenario Analysis'!I8,'Scenario Analysis'!I9,'Scenario Analysis'!I10)</f>
        <v>116</v>
      </c>
      <c r="J9" s="26">
        <f>CHOOSE('Scenario Analysis'!$B$7,'Scenario Analysis'!J8,'Scenario Analysis'!J9,'Scenario Analysis'!J10)</f>
        <v>124</v>
      </c>
    </row>
    <row r="10" spans="1:10" x14ac:dyDescent="0.3">
      <c r="A10" s="34" t="s">
        <v>164</v>
      </c>
      <c r="B10" s="34" t="s">
        <v>382</v>
      </c>
      <c r="C10" s="4" t="s">
        <v>11</v>
      </c>
      <c r="D10" s="24">
        <v>0.3</v>
      </c>
      <c r="E10" s="24">
        <v>0.16</v>
      </c>
      <c r="F10" s="24">
        <v>0.17399999999999999</v>
      </c>
      <c r="G10" s="27">
        <f>CHOOSE('Scenario Analysis'!$B$13,'Scenario Analysis'!G14,'Scenario Analysis'!G15,'Scenario Analysis'!G16)</f>
        <v>0.1</v>
      </c>
      <c r="H10" s="27">
        <f>CHOOSE('Scenario Analysis'!$B$13,'Scenario Analysis'!H14,'Scenario Analysis'!H15,'Scenario Analysis'!H16)</f>
        <v>0.1</v>
      </c>
      <c r="I10" s="27">
        <f>CHOOSE('Scenario Analysis'!$B$13,'Scenario Analysis'!I14,'Scenario Analysis'!I15,'Scenario Analysis'!I16)</f>
        <v>0.1</v>
      </c>
      <c r="J10" s="27">
        <f>CHOOSE('Scenario Analysis'!$B$13,'Scenario Analysis'!J14,'Scenario Analysis'!J15,'Scenario Analysis'!J16)</f>
        <v>0.1</v>
      </c>
    </row>
    <row r="11" spans="1:10" ht="28.8" x14ac:dyDescent="0.3">
      <c r="A11" s="115" t="s">
        <v>166</v>
      </c>
      <c r="B11" s="34" t="s">
        <v>167</v>
      </c>
      <c r="C11" s="4" t="s">
        <v>11</v>
      </c>
      <c r="D11" s="4" t="s">
        <v>11</v>
      </c>
      <c r="E11" s="4" t="s">
        <v>11</v>
      </c>
      <c r="F11" s="4" t="s">
        <v>11</v>
      </c>
      <c r="G11" s="27">
        <f>CHOOSE('Scenario Analysis'!$B$19,'Scenario Analysis'!G20,'Scenario Analysis'!G21,'Scenario Analysis'!G22)</f>
        <v>0.6</v>
      </c>
      <c r="H11" s="27">
        <f>CHOOSE('Scenario Analysis'!$B$19,'Scenario Analysis'!H20,'Scenario Analysis'!H21,'Scenario Analysis'!H22)</f>
        <v>0.6</v>
      </c>
      <c r="I11" s="27">
        <f>CHOOSE('Scenario Analysis'!$B$19,'Scenario Analysis'!I20,'Scenario Analysis'!I21,'Scenario Analysis'!I22)</f>
        <v>0.6</v>
      </c>
      <c r="J11" s="27">
        <f>CHOOSE('Scenario Analysis'!$B$19,'Scenario Analysis'!J20,'Scenario Analysis'!J21,'Scenario Analysis'!J22)</f>
        <v>0.6</v>
      </c>
    </row>
    <row r="12" spans="1:10" ht="28.8" x14ac:dyDescent="0.3">
      <c r="A12" s="115" t="s">
        <v>166</v>
      </c>
      <c r="B12" s="34" t="s">
        <v>176</v>
      </c>
      <c r="C12" s="4" t="s">
        <v>11</v>
      </c>
      <c r="D12" s="4" t="s">
        <v>11</v>
      </c>
      <c r="E12" s="4" t="s">
        <v>11</v>
      </c>
      <c r="F12" s="4" t="s">
        <v>11</v>
      </c>
      <c r="G12" s="27">
        <f>CHOOSE('Scenario Analysis'!$B$24,'Scenario Analysis'!G25,'Scenario Analysis'!G26,'Scenario Analysis'!G27)</f>
        <v>0.8</v>
      </c>
      <c r="H12" s="27">
        <f>CHOOSE('Scenario Analysis'!$B$24,'Scenario Analysis'!H25,'Scenario Analysis'!H26,'Scenario Analysis'!H27)</f>
        <v>0.8</v>
      </c>
      <c r="I12" s="27">
        <f>CHOOSE('Scenario Analysis'!$B$24,'Scenario Analysis'!I25,'Scenario Analysis'!I26,'Scenario Analysis'!I27)</f>
        <v>0.8</v>
      </c>
      <c r="J12" s="27">
        <f>CHOOSE('Scenario Analysis'!$B$24,'Scenario Analysis'!J25,'Scenario Analysis'!J26,'Scenario Analysis'!J27)</f>
        <v>0.8</v>
      </c>
    </row>
    <row r="15" spans="1:10" x14ac:dyDescent="0.3">
      <c r="A15" s="56" t="s">
        <v>191</v>
      </c>
      <c r="B15" s="57"/>
      <c r="C15" s="29"/>
      <c r="D15" s="29"/>
      <c r="E15" s="29"/>
      <c r="F15" s="29"/>
      <c r="G15" s="53"/>
      <c r="H15" s="53"/>
      <c r="I15" s="53"/>
      <c r="J15" s="53"/>
    </row>
    <row r="16" spans="1:10" x14ac:dyDescent="0.3">
      <c r="A16" s="34" t="str">
        <f>'Cost Model'!A7</f>
        <v>COGS/Revenue from operations</v>
      </c>
      <c r="B16" s="34" t="s">
        <v>192</v>
      </c>
      <c r="C16" s="24">
        <f>'Cost Model'!C7</f>
        <v>0.7121704631535587</v>
      </c>
      <c r="D16" s="24">
        <f>'Cost Model'!D7</f>
        <v>0.69037620078888196</v>
      </c>
      <c r="E16" s="24">
        <f>'Cost Model'!E7</f>
        <v>0.69906508770189468</v>
      </c>
      <c r="F16" s="24">
        <f>'Cost Model'!F7</f>
        <v>0.70043010414204032</v>
      </c>
      <c r="G16" s="27">
        <v>0.69</v>
      </c>
      <c r="H16" s="27">
        <v>0.72</v>
      </c>
      <c r="I16" s="27">
        <v>0.7</v>
      </c>
      <c r="J16" s="27">
        <v>0.7</v>
      </c>
    </row>
    <row r="18" spans="1:10" x14ac:dyDescent="0.3">
      <c r="A18" s="34" t="str">
        <f>'Cost Model'!A13</f>
        <v xml:space="preserve">Number of Board of Director </v>
      </c>
      <c r="B18" s="34" t="s">
        <v>200</v>
      </c>
      <c r="C18" s="37" t="s">
        <v>11</v>
      </c>
      <c r="D18" s="37">
        <f>'Cost Model'!D13</f>
        <v>12</v>
      </c>
      <c r="E18" s="37">
        <f>'Cost Model'!E13</f>
        <v>10</v>
      </c>
      <c r="F18" s="37">
        <f>'Cost Model'!F13</f>
        <v>3</v>
      </c>
      <c r="G18" s="26">
        <v>3</v>
      </c>
      <c r="H18" s="26">
        <v>3</v>
      </c>
      <c r="I18" s="26">
        <v>3</v>
      </c>
      <c r="J18" s="26">
        <v>3</v>
      </c>
    </row>
    <row r="19" spans="1:10" x14ac:dyDescent="0.3">
      <c r="A19" s="34" t="str">
        <f>'Cost Model'!A14</f>
        <v>Number of Key Managerial Personnel</v>
      </c>
      <c r="B19" s="34" t="s">
        <v>200</v>
      </c>
      <c r="C19" s="4" t="s">
        <v>11</v>
      </c>
      <c r="D19" s="37">
        <f>'Cost Model'!D14</f>
        <v>3</v>
      </c>
      <c r="E19" s="37">
        <f>'Cost Model'!E14</f>
        <v>5</v>
      </c>
      <c r="F19" s="37">
        <f>'Cost Model'!F14</f>
        <v>2</v>
      </c>
      <c r="G19" s="26">
        <v>2</v>
      </c>
      <c r="H19" s="26">
        <v>2</v>
      </c>
      <c r="I19" s="26">
        <v>2</v>
      </c>
      <c r="J19" s="26">
        <v>2</v>
      </c>
    </row>
    <row r="20" spans="1:10" x14ac:dyDescent="0.3">
      <c r="A20" s="34" t="str">
        <f>'Cost Model'!A22</f>
        <v xml:space="preserve">Employee per store </v>
      </c>
      <c r="B20" s="34" t="s">
        <v>167</v>
      </c>
      <c r="C20" s="4" t="s">
        <v>11</v>
      </c>
      <c r="D20" s="61">
        <f>'Cost Model'!D22</f>
        <v>9.4107142857142865</v>
      </c>
      <c r="E20" s="61">
        <f>'Cost Model'!E22</f>
        <v>9.7936507936507944</v>
      </c>
      <c r="F20" s="61">
        <f>'Cost Model'!F22</f>
        <v>10.616438356164384</v>
      </c>
      <c r="G20" s="26">
        <v>11</v>
      </c>
      <c r="H20" s="26">
        <v>11</v>
      </c>
      <c r="I20" s="26">
        <v>11</v>
      </c>
      <c r="J20" s="26">
        <v>11</v>
      </c>
    </row>
    <row r="21" spans="1:10" x14ac:dyDescent="0.3">
      <c r="A21" s="34" t="s">
        <v>201</v>
      </c>
      <c r="B21" s="34" t="s">
        <v>167</v>
      </c>
      <c r="G21" s="27">
        <v>0.02</v>
      </c>
      <c r="H21" s="27">
        <v>0.02</v>
      </c>
      <c r="I21" s="27">
        <v>0.02</v>
      </c>
      <c r="J21" s="27">
        <v>0.02</v>
      </c>
    </row>
    <row r="22" spans="1:10" x14ac:dyDescent="0.3">
      <c r="A22" s="34" t="s">
        <v>204</v>
      </c>
      <c r="B22" s="34" t="s">
        <v>202</v>
      </c>
      <c r="C22" s="4" t="s">
        <v>11</v>
      </c>
      <c r="G22" s="27">
        <v>0.23</v>
      </c>
      <c r="H22" s="27">
        <v>0.23</v>
      </c>
      <c r="I22" s="27">
        <v>0.23</v>
      </c>
      <c r="J22" s="27">
        <v>0.23</v>
      </c>
    </row>
    <row r="23" spans="1:10" x14ac:dyDescent="0.3">
      <c r="A23" s="34" t="s">
        <v>203</v>
      </c>
      <c r="B23" s="34" t="s">
        <v>202</v>
      </c>
      <c r="C23" s="4" t="s">
        <v>11</v>
      </c>
      <c r="G23" s="27">
        <v>0.10630000000000001</v>
      </c>
      <c r="H23" s="27">
        <v>0.10630000000000001</v>
      </c>
      <c r="I23" s="27">
        <v>0.10630000000000001</v>
      </c>
      <c r="J23" s="27">
        <v>0.10630000000000001</v>
      </c>
    </row>
    <row r="24" spans="1:10" x14ac:dyDescent="0.3">
      <c r="G24" s="27"/>
      <c r="H24" s="27"/>
      <c r="I24" s="27"/>
      <c r="J24" s="27"/>
    </row>
    <row r="25" spans="1:10" x14ac:dyDescent="0.3">
      <c r="A25" s="34" t="str">
        <f>'Cost Model'!A27</f>
        <v>Advertisement and sales promotion expense/Revenue from operations</v>
      </c>
      <c r="B25" s="34" t="s">
        <v>207</v>
      </c>
      <c r="C25" s="39">
        <f>'Cost Model'!C27</f>
        <v>3.8547771225828829E-2</v>
      </c>
      <c r="D25" s="39">
        <f>'Cost Model'!D27</f>
        <v>3.403012452099384E-2</v>
      </c>
      <c r="E25" s="39">
        <f>'Cost Model'!E27</f>
        <v>2.1022888969792652E-2</v>
      </c>
      <c r="F25" s="39">
        <f>'Cost Model'!F27</f>
        <v>1.9442611940888782E-2</v>
      </c>
      <c r="G25" s="41">
        <v>0.04</v>
      </c>
      <c r="H25" s="41">
        <v>0.03</v>
      </c>
      <c r="I25" s="41">
        <v>0.02</v>
      </c>
      <c r="J25" s="41">
        <v>0.02</v>
      </c>
    </row>
    <row r="27" spans="1:10" x14ac:dyDescent="0.3">
      <c r="A27" s="34" t="str">
        <f>'Cost Model'!A31</f>
        <v xml:space="preserve">Other Expenses/Revenue </v>
      </c>
      <c r="B27" s="34" t="s">
        <v>167</v>
      </c>
      <c r="C27" s="39">
        <f>'Cost Model'!C31</f>
        <v>5.997016718123168E-2</v>
      </c>
      <c r="D27" s="39">
        <f>'Cost Model'!D31</f>
        <v>6.3690873326022718E-2</v>
      </c>
      <c r="E27" s="39">
        <f>'Cost Model'!E31</f>
        <v>5.7609364478457832E-2</v>
      </c>
      <c r="F27" s="39">
        <f>'Cost Model'!F31</f>
        <v>6.008914316412612E-2</v>
      </c>
      <c r="G27" s="41">
        <v>0.06</v>
      </c>
      <c r="H27" s="41">
        <v>0.06</v>
      </c>
      <c r="I27" s="41">
        <v>0.06</v>
      </c>
      <c r="J27" s="41">
        <v>0.06</v>
      </c>
    </row>
    <row r="29" spans="1:10" x14ac:dyDescent="0.3">
      <c r="A29" s="34" t="str">
        <f>'Cost Model'!A35</f>
        <v xml:space="preserve">Effective Tax Rate </v>
      </c>
      <c r="B29" s="34" t="s">
        <v>242</v>
      </c>
      <c r="C29" s="24">
        <f>'Cost Model'!C35</f>
        <v>0.25813378840889561</v>
      </c>
      <c r="D29" s="24">
        <f>'Cost Model'!D35</f>
        <v>0.252592762452511</v>
      </c>
      <c r="E29" s="24">
        <f>'Cost Model'!E35</f>
        <v>0.25170309427276988</v>
      </c>
      <c r="F29" s="24">
        <f>'Cost Model'!F35</f>
        <v>0.25971448912343159</v>
      </c>
      <c r="G29" s="27">
        <f>AVERAGE($C$29:$F$29)</f>
        <v>0.25553603356440202</v>
      </c>
      <c r="H29" s="27">
        <f t="shared" ref="H29:J29" si="0">AVERAGE($C$29:$F$29)</f>
        <v>0.25553603356440202</v>
      </c>
      <c r="I29" s="27">
        <f t="shared" si="0"/>
        <v>0.25553603356440202</v>
      </c>
      <c r="J29" s="27">
        <f t="shared" si="0"/>
        <v>0.25553603356440202</v>
      </c>
    </row>
    <row r="30" spans="1:10" x14ac:dyDescent="0.3">
      <c r="C30" s="24"/>
      <c r="D30" s="24"/>
      <c r="E30" s="24"/>
      <c r="F30" s="24"/>
      <c r="G30" s="27"/>
      <c r="H30" s="27"/>
      <c r="I30" s="27"/>
      <c r="J30" s="27"/>
    </row>
    <row r="31" spans="1:10" x14ac:dyDescent="0.3">
      <c r="A31" s="34" t="str">
        <f>IS!A20</f>
        <v>Dividend Paid</v>
      </c>
      <c r="B31" s="34" t="s">
        <v>284</v>
      </c>
      <c r="C31" s="37">
        <f>IS!C20</f>
        <v>0</v>
      </c>
      <c r="D31" s="37">
        <f>IS!D20</f>
        <v>0</v>
      </c>
      <c r="E31" s="37">
        <f>IS!E20</f>
        <v>0</v>
      </c>
      <c r="F31" s="37">
        <f>IS!F20</f>
        <v>0</v>
      </c>
      <c r="G31" s="55">
        <v>0</v>
      </c>
      <c r="H31" s="55">
        <v>0</v>
      </c>
      <c r="I31" s="55">
        <v>0</v>
      </c>
      <c r="J31" s="55">
        <v>0</v>
      </c>
    </row>
    <row r="33" spans="1:10" x14ac:dyDescent="0.3">
      <c r="A33" s="56" t="s">
        <v>234</v>
      </c>
      <c r="B33" s="57"/>
      <c r="C33" s="29"/>
      <c r="D33" s="29"/>
      <c r="E33" s="29"/>
      <c r="F33" s="29"/>
      <c r="G33" s="53"/>
      <c r="H33" s="53"/>
      <c r="I33" s="53"/>
      <c r="J33" s="53"/>
    </row>
    <row r="34" spans="1:10" x14ac:dyDescent="0.3">
      <c r="A34" s="33"/>
    </row>
    <row r="35" spans="1:10" x14ac:dyDescent="0.3">
      <c r="A35" s="1" t="s">
        <v>211</v>
      </c>
    </row>
    <row r="36" spans="1:10" x14ac:dyDescent="0.3">
      <c r="A36" s="3" t="str">
        <f>'Capex Schedule'!A18</f>
        <v>Total Useful Life</v>
      </c>
      <c r="B36" s="3"/>
      <c r="C36" s="62">
        <f>'Capex Schedule'!C18</f>
        <v>7.6990019508609233</v>
      </c>
      <c r="D36" s="62">
        <f>'Capex Schedule'!D18</f>
        <v>8.1836856705567254</v>
      </c>
      <c r="E36" s="62">
        <f>'Capex Schedule'!E18</f>
        <v>6.6623899448379715</v>
      </c>
      <c r="F36" s="62">
        <f>'Capex Schedule'!F18</f>
        <v>7.4476266748023292</v>
      </c>
      <c r="G36" s="26">
        <v>7</v>
      </c>
      <c r="H36" s="26">
        <v>7</v>
      </c>
      <c r="I36" s="26">
        <v>7</v>
      </c>
      <c r="J36" s="26">
        <v>7</v>
      </c>
    </row>
    <row r="37" spans="1:10" x14ac:dyDescent="0.3">
      <c r="A37" s="33" t="str">
        <f>'Capex Schedule'!A22</f>
        <v>Capex/Number of new Store Opened</v>
      </c>
      <c r="B37" s="33"/>
      <c r="C37" s="63">
        <f>'Capex Schedule'!C22</f>
        <v>80.88333333333334</v>
      </c>
      <c r="D37" s="63">
        <f>'Capex Schedule'!D22</f>
        <v>133.34714285714284</v>
      </c>
      <c r="E37" s="63">
        <f>'Capex Schedule'!E22</f>
        <v>102.176</v>
      </c>
      <c r="F37" s="63">
        <f>'Capex Schedule'!F22</f>
        <v>74.350740740740747</v>
      </c>
      <c r="G37" s="26">
        <v>74.349999999999994</v>
      </c>
      <c r="H37" s="26">
        <v>74.349999999999994</v>
      </c>
      <c r="I37" s="26">
        <v>74.349999999999994</v>
      </c>
      <c r="J37" s="26">
        <v>74.349999999999994</v>
      </c>
    </row>
    <row r="38" spans="1:10" x14ac:dyDescent="0.3">
      <c r="A38" s="33"/>
      <c r="B38" s="33"/>
      <c r="C38" s="63"/>
      <c r="D38" s="63"/>
      <c r="E38" s="63"/>
      <c r="F38" s="63"/>
    </row>
    <row r="39" spans="1:10" x14ac:dyDescent="0.3">
      <c r="A39" s="3" t="s">
        <v>218</v>
      </c>
    </row>
    <row r="40" spans="1:10" x14ac:dyDescent="0.3">
      <c r="A40" s="1" t="str">
        <f>'Capex Schedule'!A26</f>
        <v>Add:Capex</v>
      </c>
      <c r="B40" s="34" t="s">
        <v>238</v>
      </c>
      <c r="C40" s="60">
        <f>'Capex Schedule'!C26</f>
        <v>3.96</v>
      </c>
      <c r="D40" s="60">
        <f>'Capex Schedule'!D26</f>
        <v>53.6</v>
      </c>
      <c r="E40" s="60">
        <f>'Capex Schedule'!E26</f>
        <v>25.53</v>
      </c>
      <c r="F40" s="60">
        <f>'Capex Schedule'!F26</f>
        <v>266.33</v>
      </c>
      <c r="G40" s="64">
        <v>0</v>
      </c>
      <c r="H40" s="49">
        <v>0</v>
      </c>
      <c r="I40" s="49">
        <v>0</v>
      </c>
      <c r="J40" s="49">
        <v>0</v>
      </c>
    </row>
    <row r="41" spans="1:10" x14ac:dyDescent="0.3">
      <c r="A41" s="1" t="str">
        <f>'Capex Schedule'!A37</f>
        <v>Total Useful Life</v>
      </c>
      <c r="B41" s="34" t="s">
        <v>238</v>
      </c>
      <c r="C41" s="62">
        <f>'Capex Schedule'!C37</f>
        <v>17.873039959534651</v>
      </c>
      <c r="D41" s="62">
        <f>'Capex Schedule'!D37</f>
        <v>17.526561043802424</v>
      </c>
      <c r="E41" s="62">
        <f>'Capex Schedule'!E37</f>
        <v>14.555273649873142</v>
      </c>
      <c r="F41" s="62">
        <v>13.802645174622855</v>
      </c>
      <c r="G41" s="49">
        <v>13.802645174622855</v>
      </c>
      <c r="H41" s="49">
        <v>13.802645174622855</v>
      </c>
      <c r="I41" s="49">
        <v>13.802645174622855</v>
      </c>
      <c r="J41" s="49">
        <v>13.802645174622855</v>
      </c>
    </row>
    <row r="42" spans="1:10" x14ac:dyDescent="0.3">
      <c r="A42" s="3"/>
      <c r="C42" s="48"/>
      <c r="D42" s="48"/>
      <c r="E42" s="48"/>
      <c r="F42" s="48"/>
      <c r="G42" s="49"/>
      <c r="H42" s="49"/>
      <c r="I42" s="49"/>
      <c r="J42" s="49"/>
    </row>
    <row r="43" spans="1:10" x14ac:dyDescent="0.3">
      <c r="A43" s="3" t="s">
        <v>222</v>
      </c>
      <c r="C43" s="48"/>
      <c r="D43" s="48"/>
      <c r="E43" s="48"/>
      <c r="F43" s="48"/>
      <c r="G43" s="49"/>
      <c r="H43" s="49"/>
      <c r="I43" s="49"/>
      <c r="J43" s="49"/>
    </row>
    <row r="44" spans="1:10" x14ac:dyDescent="0.3">
      <c r="A44" s="1" t="str">
        <f>'Capex Schedule'!A56</f>
        <v>Total Useful Life</v>
      </c>
      <c r="B44" s="34" t="s">
        <v>241</v>
      </c>
      <c r="C44" s="62">
        <f>'Capex Schedule'!C56</f>
        <v>12.104182676473815</v>
      </c>
      <c r="D44" s="62">
        <f>'Capex Schedule'!D56</f>
        <v>10.637500473682216</v>
      </c>
      <c r="E44" s="62">
        <f>'Capex Schedule'!E56</f>
        <v>9.5425381428715763</v>
      </c>
      <c r="F44" s="62">
        <f>'Capex Schedule'!F56</f>
        <v>9.6936156340613895</v>
      </c>
      <c r="G44" s="49">
        <v>10</v>
      </c>
      <c r="H44" s="49">
        <v>10</v>
      </c>
      <c r="I44" s="49">
        <v>10</v>
      </c>
      <c r="J44" s="49">
        <v>10</v>
      </c>
    </row>
    <row r="45" spans="1:10" x14ac:dyDescent="0.3">
      <c r="A45" s="1" t="str">
        <f>'Capex Schedule'!A60</f>
        <v xml:space="preserve">Capex/Number of new store </v>
      </c>
      <c r="B45" s="34" t="s">
        <v>240</v>
      </c>
      <c r="C45" s="62">
        <f>'Capex Schedule'!C60</f>
        <v>77.288333333333341</v>
      </c>
      <c r="D45" s="62">
        <f>'Capex Schedule'!D60</f>
        <v>104.40428571428572</v>
      </c>
      <c r="E45" s="62">
        <f>'Capex Schedule'!E60</f>
        <v>101.154</v>
      </c>
      <c r="F45" s="62">
        <f>'Capex Schedule'!F60</f>
        <v>76.61333333333333</v>
      </c>
      <c r="G45" s="49">
        <v>70</v>
      </c>
      <c r="H45" s="49">
        <v>70</v>
      </c>
      <c r="I45" s="49">
        <v>70</v>
      </c>
      <c r="J45" s="49">
        <v>70</v>
      </c>
    </row>
    <row r="46" spans="1:10" x14ac:dyDescent="0.3">
      <c r="A46" s="3"/>
      <c r="C46" s="48"/>
      <c r="D46" s="48"/>
      <c r="E46" s="48"/>
      <c r="F46" s="48"/>
      <c r="G46" s="49"/>
      <c r="H46" s="49"/>
      <c r="I46" s="49"/>
      <c r="J46" s="49"/>
    </row>
    <row r="47" spans="1:10" x14ac:dyDescent="0.3">
      <c r="A47" s="3" t="s">
        <v>224</v>
      </c>
      <c r="C47" s="48"/>
      <c r="D47" s="48"/>
      <c r="E47" s="48"/>
      <c r="F47" s="48"/>
      <c r="G47" s="49"/>
      <c r="H47" s="49"/>
      <c r="I47" s="49"/>
      <c r="J47" s="49"/>
    </row>
    <row r="48" spans="1:10" x14ac:dyDescent="0.3">
      <c r="A48" s="34" t="str">
        <f>'Capex Schedule'!A75</f>
        <v>Total Useful Life</v>
      </c>
      <c r="B48" s="34" t="s">
        <v>167</v>
      </c>
      <c r="C48" s="63">
        <f>'Capex Schedule'!C75</f>
        <v>6.0814266487214006</v>
      </c>
      <c r="D48" s="63">
        <f>'Capex Schedule'!D75</f>
        <v>4.9928937663038582</v>
      </c>
      <c r="E48" s="63">
        <f>'Capex Schedule'!E75</f>
        <v>4.7578560490045945</v>
      </c>
      <c r="F48" s="63">
        <f>'Capex Schedule'!F75</f>
        <v>5.4199050384916792</v>
      </c>
      <c r="G48" s="26">
        <v>5</v>
      </c>
      <c r="H48" s="26">
        <v>5</v>
      </c>
      <c r="I48" s="26">
        <v>5</v>
      </c>
      <c r="J48" s="26">
        <v>5</v>
      </c>
    </row>
    <row r="49" spans="1:10" x14ac:dyDescent="0.3">
      <c r="A49" s="34" t="str">
        <f>'Capex Schedule'!A79</f>
        <v>Opening Gross Block/Revenue</v>
      </c>
      <c r="B49" s="34" t="s">
        <v>167</v>
      </c>
      <c r="C49" s="24">
        <f>'Capex Schedule'!C79</f>
        <v>4.1705663956907143E-3</v>
      </c>
      <c r="D49" s="24">
        <f>'Capex Schedule'!D79</f>
        <v>5.7302560435907816E-3</v>
      </c>
      <c r="E49" s="24">
        <f>'Capex Schedule'!E79</f>
        <v>5.5562000940748172E-3</v>
      </c>
      <c r="F49" s="24">
        <f>'Capex Schedule'!F79</f>
        <v>6.2056821876100314E-3</v>
      </c>
      <c r="G49" s="24">
        <f>'Capex Schedule'!G79</f>
        <v>6.3382288785659479E-3</v>
      </c>
      <c r="H49" s="27">
        <f>G49-$C$50</f>
        <v>5.8382288785659483E-3</v>
      </c>
      <c r="I49" s="27">
        <f t="shared" ref="I49:J49" si="1">H49-$C$50</f>
        <v>5.3382288785659478E-3</v>
      </c>
      <c r="J49" s="27">
        <f t="shared" si="1"/>
        <v>4.8382288785659474E-3</v>
      </c>
    </row>
    <row r="50" spans="1:10" x14ac:dyDescent="0.3">
      <c r="A50" s="34" t="s">
        <v>235</v>
      </c>
      <c r="B50" s="40" t="s">
        <v>236</v>
      </c>
      <c r="C50" s="123">
        <v>5.0000000000000001E-4</v>
      </c>
      <c r="D50" s="123"/>
      <c r="E50" s="123"/>
      <c r="F50" s="123"/>
      <c r="G50" s="123"/>
      <c r="H50" s="123"/>
      <c r="I50" s="123"/>
      <c r="J50" s="123"/>
    </row>
    <row r="52" spans="1:10" x14ac:dyDescent="0.3">
      <c r="A52" s="3" t="s">
        <v>225</v>
      </c>
    </row>
    <row r="53" spans="1:10" x14ac:dyDescent="0.3">
      <c r="A53" s="34" t="str">
        <f>'Capex Schedule'!A95</f>
        <v>Total Useful Life</v>
      </c>
      <c r="B53" s="34" t="s">
        <v>167</v>
      </c>
      <c r="C53" s="63">
        <f>'Capex Schedule'!C95</f>
        <v>10.20101312456827</v>
      </c>
      <c r="D53" s="63">
        <f>'Capex Schedule'!D95</f>
        <v>11.383627608346711</v>
      </c>
      <c r="E53" s="63">
        <f>'Capex Schedule'!E95</f>
        <v>7.0870634920634918</v>
      </c>
      <c r="F53" s="63">
        <f>'Capex Schedule'!F95</f>
        <v>10.260632136356113</v>
      </c>
      <c r="G53" s="26">
        <v>10</v>
      </c>
      <c r="H53" s="26">
        <v>10</v>
      </c>
      <c r="I53" s="26">
        <v>10</v>
      </c>
      <c r="J53" s="26">
        <v>10</v>
      </c>
    </row>
    <row r="54" spans="1:10" x14ac:dyDescent="0.3">
      <c r="A54" s="34" t="str">
        <f>'Capex Schedule'!A99</f>
        <v xml:space="preserve">Capex/Number of new store </v>
      </c>
      <c r="B54" s="34" t="s">
        <v>242</v>
      </c>
      <c r="C54" s="63">
        <f>'Capex Schedule'!C99</f>
        <v>33.671666666666667</v>
      </c>
      <c r="D54" s="63">
        <f>'Capex Schedule'!D99</f>
        <v>86.987142857142857</v>
      </c>
      <c r="E54" s="63">
        <f>'Capex Schedule'!E99</f>
        <v>113.617</v>
      </c>
      <c r="F54" s="63">
        <f>'Capex Schedule'!F99</f>
        <v>27.484814814814815</v>
      </c>
      <c r="G54" s="26">
        <f>AVERAGE($C$54:$F$54)</f>
        <v>65.440156084656081</v>
      </c>
      <c r="H54" s="26">
        <f t="shared" ref="H54:J54" si="2">AVERAGE($C$54:$F$54)</f>
        <v>65.440156084656081</v>
      </c>
      <c r="I54" s="26">
        <f t="shared" si="2"/>
        <v>65.440156084656081</v>
      </c>
      <c r="J54" s="26">
        <f t="shared" si="2"/>
        <v>65.440156084656081</v>
      </c>
    </row>
    <row r="56" spans="1:10" x14ac:dyDescent="0.3">
      <c r="A56" s="56" t="s">
        <v>254</v>
      </c>
      <c r="B56" s="57"/>
      <c r="C56" s="29"/>
      <c r="D56" s="29"/>
      <c r="E56" s="29"/>
      <c r="F56" s="29"/>
      <c r="G56" s="53"/>
      <c r="H56" s="53"/>
      <c r="I56" s="53"/>
      <c r="J56" s="53"/>
    </row>
    <row r="57" spans="1:10" x14ac:dyDescent="0.3">
      <c r="A57" s="33"/>
    </row>
    <row r="58" spans="1:10" x14ac:dyDescent="0.3">
      <c r="A58" s="3" t="s">
        <v>245</v>
      </c>
    </row>
    <row r="59" spans="1:10" x14ac:dyDescent="0.3">
      <c r="A59" s="34" t="str">
        <f>'Lease Schedule '!A15</f>
        <v>Net Addition to ROU per newly opened store</v>
      </c>
      <c r="B59" s="34" t="s">
        <v>253</v>
      </c>
      <c r="C59" s="63">
        <f>'Lease Schedule '!C15</f>
        <v>582.87666666666667</v>
      </c>
      <c r="D59" s="63">
        <f>'Lease Schedule '!D15</f>
        <v>533.47714285714278</v>
      </c>
      <c r="E59" s="63">
        <f>'Lease Schedule '!E15</f>
        <v>562.74800000000005</v>
      </c>
      <c r="F59" s="63">
        <f>'Lease Schedule '!F15</f>
        <v>694.68296296296296</v>
      </c>
      <c r="G59" s="26">
        <v>550</v>
      </c>
      <c r="H59" s="26">
        <f>G59*(1+2%)</f>
        <v>561</v>
      </c>
      <c r="I59" s="26">
        <f t="shared" ref="I59:J59" si="3">H59*(1+2%)</f>
        <v>572.22</v>
      </c>
      <c r="J59" s="26">
        <f t="shared" si="3"/>
        <v>583.6644</v>
      </c>
    </row>
    <row r="60" spans="1:10" x14ac:dyDescent="0.3">
      <c r="A60" s="34" t="str">
        <f>'Lease Schedule '!A17</f>
        <v xml:space="preserve">Average Remaining life of the lease </v>
      </c>
      <c r="B60" s="34" t="s">
        <v>241</v>
      </c>
      <c r="C60" s="63">
        <f>'Lease Schedule '!C17</f>
        <v>3.301423484651405</v>
      </c>
      <c r="D60" s="63">
        <f>'Lease Schedule '!D17</f>
        <v>3.5940284802800155</v>
      </c>
      <c r="E60" s="63">
        <f>'Lease Schedule '!E17</f>
        <v>3.0147370384293706</v>
      </c>
      <c r="F60" s="63">
        <f>'Lease Schedule '!F17</f>
        <v>2.7667902133386284</v>
      </c>
      <c r="G60" s="26">
        <v>4</v>
      </c>
      <c r="H60" s="26">
        <v>4</v>
      </c>
      <c r="I60" s="26">
        <v>4</v>
      </c>
      <c r="J60" s="26">
        <v>4</v>
      </c>
    </row>
    <row r="62" spans="1:10" x14ac:dyDescent="0.3">
      <c r="A62" s="3" t="s">
        <v>255</v>
      </c>
    </row>
    <row r="63" spans="1:10" x14ac:dyDescent="0.3">
      <c r="A63" s="1" t="s">
        <v>286</v>
      </c>
      <c r="B63" s="34" t="s">
        <v>200</v>
      </c>
      <c r="C63" s="39">
        <f>'Lease Schedule '!C31/'Lease Schedule '!C30</f>
        <v>0.219731676838157</v>
      </c>
      <c r="D63" s="39">
        <f>'Lease Schedule '!D31/'Lease Schedule '!D30</f>
        <v>0.20905127488679254</v>
      </c>
      <c r="E63" s="39">
        <f>'Lease Schedule '!E31/'Lease Schedule '!E30</f>
        <v>0.19745789792551399</v>
      </c>
      <c r="F63" s="39">
        <f>'Lease Schedule '!F31/'Lease Schedule '!F30</f>
        <v>0.14574790356704836</v>
      </c>
      <c r="G63" s="41">
        <v>0.15</v>
      </c>
      <c r="H63" s="41">
        <v>0.15</v>
      </c>
      <c r="I63" s="41">
        <v>0.15</v>
      </c>
      <c r="J63" s="41">
        <v>0.15</v>
      </c>
    </row>
    <row r="64" spans="1:10" x14ac:dyDescent="0.3">
      <c r="A64" s="34" t="str">
        <f>'Lease Schedule '!A35</f>
        <v xml:space="preserve">Effective Interest Rate </v>
      </c>
      <c r="B64" s="34" t="s">
        <v>167</v>
      </c>
      <c r="C64" s="24">
        <f>'Lease Schedule '!C35</f>
        <v>0.11574863057111788</v>
      </c>
      <c r="D64" s="24">
        <f>'Lease Schedule '!D35</f>
        <v>0.11317496763021784</v>
      </c>
      <c r="E64" s="24">
        <f>'Lease Schedule '!E35</f>
        <v>0.13406247366623644</v>
      </c>
      <c r="F64" s="24">
        <f>'Lease Schedule '!F35</f>
        <v>0.18512260823923898</v>
      </c>
      <c r="G64" s="27">
        <v>0.10249999999999999</v>
      </c>
      <c r="H64" s="27">
        <v>0.10249999999999999</v>
      </c>
      <c r="I64" s="27">
        <v>0.10249999999999999</v>
      </c>
      <c r="J64" s="27">
        <v>0.10249999999999999</v>
      </c>
    </row>
    <row r="67" spans="1:10" x14ac:dyDescent="0.3">
      <c r="A67" s="56" t="s">
        <v>278</v>
      </c>
      <c r="B67" s="57"/>
      <c r="C67" s="29"/>
      <c r="D67" s="29"/>
      <c r="E67" s="29"/>
      <c r="F67" s="29"/>
      <c r="G67" s="53"/>
      <c r="H67" s="53"/>
      <c r="I67" s="53"/>
      <c r="J67" s="53"/>
    </row>
    <row r="68" spans="1:10" x14ac:dyDescent="0.3">
      <c r="A68" s="34" t="str">
        <f>'Debt Schedule '!A23</f>
        <v xml:space="preserve">Effective Interest Rate on Borrowing </v>
      </c>
      <c r="B68" s="34" t="s">
        <v>279</v>
      </c>
      <c r="C68" s="4" t="s">
        <v>11</v>
      </c>
      <c r="D68" s="24">
        <f>'Debt Schedule '!D23</f>
        <v>4.0917298724552902E-2</v>
      </c>
      <c r="E68" s="24">
        <f>'Debt Schedule '!E23</f>
        <v>0.10542915070961928</v>
      </c>
      <c r="F68" s="24">
        <f>'Debt Schedule '!F23</f>
        <v>0.14280809136373815</v>
      </c>
      <c r="G68" s="27">
        <v>0.1225</v>
      </c>
      <c r="H68" s="27">
        <v>0.1225</v>
      </c>
      <c r="I68" s="27">
        <v>0.1225</v>
      </c>
      <c r="J68" s="27">
        <v>0.1225</v>
      </c>
    </row>
    <row r="70" spans="1:10" s="2" customFormat="1" x14ac:dyDescent="0.3">
      <c r="A70" s="56" t="s">
        <v>291</v>
      </c>
      <c r="B70" s="56"/>
      <c r="C70" s="31"/>
      <c r="D70" s="31"/>
      <c r="E70" s="31"/>
      <c r="F70" s="31"/>
      <c r="G70" s="32"/>
      <c r="H70" s="32"/>
      <c r="I70" s="32"/>
      <c r="J70" s="32"/>
    </row>
    <row r="71" spans="1:10" x14ac:dyDescent="0.3">
      <c r="A71" s="34" t="str">
        <f>'WC Schedule'!A10</f>
        <v>Number of Days in Inventory</v>
      </c>
      <c r="B71" s="34" t="s">
        <v>375</v>
      </c>
      <c r="C71" s="37" t="s">
        <v>11</v>
      </c>
      <c r="D71" s="63">
        <f>'WC Schedule'!D10</f>
        <v>227.87848909843018</v>
      </c>
      <c r="E71" s="63">
        <f>'WC Schedule'!E10</f>
        <v>229.80610587225365</v>
      </c>
      <c r="F71" s="63">
        <f>'WC Schedule'!F10</f>
        <v>246.75529867147239</v>
      </c>
      <c r="G71" s="26">
        <v>220</v>
      </c>
      <c r="H71" s="26">
        <v>200</v>
      </c>
      <c r="I71" s="26">
        <v>190</v>
      </c>
      <c r="J71" s="26">
        <v>180</v>
      </c>
    </row>
    <row r="72" spans="1:10" x14ac:dyDescent="0.3">
      <c r="A72" s="34" t="str">
        <f>'WC Schedule'!A15</f>
        <v xml:space="preserve">Number of Days in Trade Receivable </v>
      </c>
      <c r="B72" s="34" t="s">
        <v>296</v>
      </c>
      <c r="C72" s="37" t="s">
        <v>11</v>
      </c>
      <c r="D72" s="63">
        <f>'WC Schedule'!D15</f>
        <v>2.85942249519583</v>
      </c>
      <c r="E72" s="63">
        <f>'WC Schedule'!E15</f>
        <v>5.6894779248004053</v>
      </c>
      <c r="F72" s="63">
        <f>'WC Schedule'!F15</f>
        <v>5.3248427586778835</v>
      </c>
      <c r="G72" s="26">
        <v>5</v>
      </c>
      <c r="H72" s="26">
        <v>5</v>
      </c>
      <c r="I72" s="26">
        <v>5</v>
      </c>
      <c r="J72" s="26">
        <v>5</v>
      </c>
    </row>
    <row r="73" spans="1:10" x14ac:dyDescent="0.3">
      <c r="A73" s="34" t="str">
        <f>'WC Schedule'!A21</f>
        <v xml:space="preserve">Number of days of Trade Payable </v>
      </c>
      <c r="B73" s="34" t="s">
        <v>304</v>
      </c>
      <c r="C73" s="4" t="s">
        <v>11</v>
      </c>
      <c r="D73" s="63">
        <f>'WC Schedule'!D21</f>
        <v>55.575527619994105</v>
      </c>
      <c r="E73" s="63">
        <f>'WC Schedule'!E21</f>
        <v>43.885134720339813</v>
      </c>
      <c r="F73" s="63">
        <f>'WC Schedule'!F21</f>
        <v>31.463405597266899</v>
      </c>
      <c r="G73" s="26">
        <v>45</v>
      </c>
      <c r="H73" s="26">
        <v>50</v>
      </c>
      <c r="I73" s="26">
        <v>55</v>
      </c>
      <c r="J73" s="26">
        <v>60</v>
      </c>
    </row>
    <row r="76" spans="1:10" x14ac:dyDescent="0.3">
      <c r="A76" s="56" t="s">
        <v>341</v>
      </c>
      <c r="B76" s="57"/>
      <c r="C76" s="29"/>
      <c r="D76" s="29"/>
      <c r="E76" s="29"/>
      <c r="F76" s="29"/>
      <c r="G76" s="53"/>
      <c r="H76" s="53"/>
      <c r="I76" s="53"/>
      <c r="J76" s="53"/>
    </row>
    <row r="77" spans="1:10" x14ac:dyDescent="0.3">
      <c r="A77" s="34" t="str">
        <f>Valuation!A39</f>
        <v>PS/G Ratio</v>
      </c>
      <c r="B77" s="4">
        <f>CHOOSE('Scenario Analysis'!B29,'Scenario Analysis'!G30,'Scenario Analysis'!G31,'Scenario Analysis'!G32)</f>
        <v>0.15</v>
      </c>
    </row>
    <row r="78" spans="1:10" x14ac:dyDescent="0.3">
      <c r="A78" s="34" t="str">
        <f>Valuation!A46</f>
        <v xml:space="preserve">PEG Ratio </v>
      </c>
      <c r="B78" s="34">
        <f>CHOOSE('Scenario Analysis'!B34,'Scenario Analysis'!G35,'Scenario Analysis'!G36,'Scenario Analysis'!G37)</f>
        <v>1.1499999999999999</v>
      </c>
    </row>
    <row r="80" spans="1:10" x14ac:dyDescent="0.3">
      <c r="A80" s="34" t="str">
        <f>Valuation!A63</f>
        <v>Forecasted Terminal PE</v>
      </c>
      <c r="B80" s="34">
        <f>CHOOSE('Scenario Analysis'!$B$39,'Scenario Analysis'!G40,'Scenario Analysis'!G41,'Scenario Analysis'!G42)</f>
        <v>40</v>
      </c>
    </row>
    <row r="82" spans="1:3" x14ac:dyDescent="0.3">
      <c r="A82" s="1" t="s">
        <v>358</v>
      </c>
      <c r="B82" s="99">
        <v>6.0299999999999999E-2</v>
      </c>
    </row>
    <row r="83" spans="1:3" x14ac:dyDescent="0.3">
      <c r="A83" s="1" t="s">
        <v>359</v>
      </c>
      <c r="B83" s="99">
        <v>7.0800000000000002E-2</v>
      </c>
    </row>
    <row r="84" spans="1:3" x14ac:dyDescent="0.3">
      <c r="A84" s="1" t="s">
        <v>360</v>
      </c>
      <c r="B84" s="34">
        <v>0.75</v>
      </c>
      <c r="C84" s="24"/>
    </row>
    <row r="85" spans="1:3" x14ac:dyDescent="0.3">
      <c r="A85" s="34" t="str">
        <f>Valuation!A67</f>
        <v xml:space="preserve">Cost of equity </v>
      </c>
      <c r="B85" s="40">
        <f>CHOOSE('Scenario Analysis'!B44,'Scenario Analysis'!G45,'Scenario Analysis'!G46,'Scenario Analysis'!G47)</f>
        <v>0.25</v>
      </c>
    </row>
  </sheetData>
  <sheetProtection algorithmName="SHA-512" hashValue="U9lw9p6X23t5f1/m2U9Md5LTjz8s/oYSCG9mny5guBbuUak+p6RLQZgbY4gfqtZqLnEyhekDxslmNsjI0KCvzg==" saltValue="JJBwAqG64ZgQTE1Pq9ULsA==" spinCount="100000" sheet="1" objects="1" scenarios="1"/>
  <mergeCells count="1">
    <mergeCell ref="C50:J50"/>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E828-3781-4E01-9591-2D3E8B9F0DCD}">
  <dimension ref="A1:M84"/>
  <sheetViews>
    <sheetView showGridLines="0" workbookViewId="0">
      <pane xSplit="2" ySplit="3" topLeftCell="C58" activePane="bottomRight" state="frozen"/>
      <selection pane="topRight" activeCell="C1" sqref="C1"/>
      <selection pane="bottomLeft" activeCell="A4" sqref="A4"/>
      <selection pane="bottomRight" activeCell="B81" sqref="B81"/>
    </sheetView>
  </sheetViews>
  <sheetFormatPr defaultRowHeight="14.4" x14ac:dyDescent="0.3"/>
  <cols>
    <col min="1" max="1" width="36.21875" style="1" bestFit="1" customWidth="1"/>
    <col min="2" max="2" width="23.33203125" style="37" bestFit="1" customWidth="1"/>
    <col min="3" max="3" width="11.88671875" style="82" customWidth="1"/>
    <col min="4" max="4" width="17.6640625" style="82" bestFit="1" customWidth="1"/>
    <col min="5" max="5" width="18.44140625" style="82" customWidth="1"/>
    <col min="6" max="6" width="11" style="82" bestFit="1" customWidth="1"/>
    <col min="7" max="7" width="16.33203125" style="82" bestFit="1" customWidth="1"/>
    <col min="8" max="8" width="16.88671875" style="82" bestFit="1" customWidth="1"/>
    <col min="9" max="9" width="12.88671875" style="26" bestFit="1" customWidth="1"/>
    <col min="10" max="10" width="14.6640625" style="26" bestFit="1" customWidth="1"/>
    <col min="13" max="13" width="9.77734375" bestFit="1" customWidth="1"/>
  </cols>
  <sheetData>
    <row r="1" spans="1:10" s="2" customFormat="1" ht="18" customHeight="1" x14ac:dyDescent="0.3">
      <c r="A1" s="2" t="s">
        <v>373</v>
      </c>
      <c r="B1" s="35"/>
      <c r="C1" s="94"/>
      <c r="D1" s="94"/>
      <c r="E1" s="94"/>
      <c r="F1" s="94"/>
      <c r="G1" s="94"/>
      <c r="H1" s="112"/>
      <c r="I1" s="89"/>
      <c r="J1" s="89"/>
    </row>
    <row r="2" spans="1:10" s="2" customFormat="1" x14ac:dyDescent="0.3">
      <c r="A2" s="2" t="s">
        <v>374</v>
      </c>
      <c r="B2" s="35"/>
      <c r="C2" s="94"/>
      <c r="D2" s="94"/>
      <c r="E2" s="94"/>
      <c r="F2" s="94"/>
      <c r="G2" s="94"/>
      <c r="H2" s="112"/>
      <c r="I2" s="89"/>
      <c r="J2" s="89"/>
    </row>
    <row r="3" spans="1:10" s="2" customFormat="1" x14ac:dyDescent="0.3">
      <c r="A3" s="2" t="s">
        <v>9</v>
      </c>
      <c r="B3" s="35" t="s">
        <v>1</v>
      </c>
      <c r="C3" s="94"/>
      <c r="D3" s="94"/>
      <c r="E3" s="94"/>
      <c r="F3" s="94"/>
      <c r="G3" s="94"/>
      <c r="H3" s="112"/>
      <c r="I3" s="89"/>
      <c r="J3" s="36"/>
    </row>
    <row r="5" spans="1:10" s="90" customFormat="1" x14ac:dyDescent="0.3">
      <c r="A5" s="28" t="s">
        <v>311</v>
      </c>
      <c r="B5" s="95"/>
      <c r="C5" s="92"/>
      <c r="D5" s="92"/>
      <c r="E5" s="92"/>
      <c r="F5" s="92"/>
      <c r="G5" s="92"/>
      <c r="H5" s="92"/>
      <c r="I5" s="32"/>
      <c r="J5" s="32"/>
    </row>
    <row r="6" spans="1:10" x14ac:dyDescent="0.3">
      <c r="C6" s="93" t="s">
        <v>326</v>
      </c>
      <c r="D6" s="93" t="s">
        <v>376</v>
      </c>
      <c r="E6" s="93" t="s">
        <v>336</v>
      </c>
      <c r="F6" s="93" t="s">
        <v>327</v>
      </c>
      <c r="G6" s="93" t="s">
        <v>335</v>
      </c>
      <c r="H6" s="93" t="s">
        <v>328</v>
      </c>
    </row>
    <row r="7" spans="1:10" x14ac:dyDescent="0.3">
      <c r="A7" s="1" t="s">
        <v>312</v>
      </c>
      <c r="C7" s="79">
        <v>5416</v>
      </c>
      <c r="D7" s="79">
        <v>7478</v>
      </c>
      <c r="E7" s="79">
        <v>24921</v>
      </c>
      <c r="F7" s="82" t="s">
        <v>366</v>
      </c>
      <c r="G7" s="82">
        <v>246107</v>
      </c>
      <c r="H7" s="82">
        <v>8319</v>
      </c>
    </row>
    <row r="8" spans="1:10" x14ac:dyDescent="0.3">
      <c r="A8" s="1" t="s">
        <v>329</v>
      </c>
      <c r="C8" s="79">
        <v>1510</v>
      </c>
      <c r="D8" s="79">
        <v>8783</v>
      </c>
      <c r="E8" s="82">
        <v>2733</v>
      </c>
      <c r="F8" s="79">
        <v>19263</v>
      </c>
      <c r="G8" s="79">
        <v>66009</v>
      </c>
      <c r="H8" s="82">
        <v>1403</v>
      </c>
    </row>
    <row r="9" spans="1:10" x14ac:dyDescent="0.3">
      <c r="A9" s="1" t="s">
        <v>313</v>
      </c>
      <c r="C9" s="79">
        <v>1252</v>
      </c>
      <c r="D9" s="79">
        <v>7586</v>
      </c>
      <c r="E9" s="82">
        <v>2507</v>
      </c>
      <c r="F9" s="79">
        <v>17135</v>
      </c>
      <c r="G9" s="79">
        <v>59358</v>
      </c>
      <c r="H9" s="82">
        <v>1386</v>
      </c>
    </row>
    <row r="10" spans="1:10" x14ac:dyDescent="0.3">
      <c r="A10" s="1" t="s">
        <v>317</v>
      </c>
      <c r="C10" s="79">
        <v>197</v>
      </c>
      <c r="D10" s="79">
        <v>337</v>
      </c>
      <c r="E10" s="82">
        <v>759</v>
      </c>
      <c r="F10" s="82">
        <v>2820</v>
      </c>
      <c r="G10" s="82">
        <v>4495</v>
      </c>
      <c r="H10" s="82">
        <v>643</v>
      </c>
    </row>
    <row r="11" spans="1:10" x14ac:dyDescent="0.3">
      <c r="A11" s="1" t="s">
        <v>318</v>
      </c>
      <c r="C11" s="79">
        <v>-20</v>
      </c>
      <c r="D11" s="79">
        <v>-675</v>
      </c>
      <c r="E11" s="82">
        <v>698</v>
      </c>
      <c r="F11" s="82">
        <v>1661</v>
      </c>
      <c r="G11" s="82">
        <v>2463</v>
      </c>
      <c r="H11" s="82">
        <v>389</v>
      </c>
    </row>
    <row r="12" spans="1:10" s="24" customFormat="1" x14ac:dyDescent="0.3">
      <c r="A12" s="1" t="s">
        <v>330</v>
      </c>
      <c r="B12" s="37"/>
      <c r="C12" s="101">
        <v>-0.10152284263959391</v>
      </c>
      <c r="D12" s="38">
        <v>-8.8979699446348537E-2</v>
      </c>
      <c r="E12" s="101">
        <v>0.91963109354413697</v>
      </c>
      <c r="F12" s="101">
        <v>0.58900709219858161</v>
      </c>
      <c r="G12" s="101">
        <v>0.54794215795328138</v>
      </c>
      <c r="H12" s="101">
        <v>0.60497667185069981</v>
      </c>
    </row>
    <row r="13" spans="1:10" x14ac:dyDescent="0.3">
      <c r="A13" s="1" t="s">
        <v>319</v>
      </c>
      <c r="C13" s="79">
        <v>192</v>
      </c>
      <c r="D13" s="82">
        <v>278</v>
      </c>
      <c r="E13" s="82">
        <v>641</v>
      </c>
      <c r="F13" s="82">
        <v>2229</v>
      </c>
      <c r="G13" s="82">
        <v>3576</v>
      </c>
      <c r="H13" s="82">
        <v>520</v>
      </c>
    </row>
    <row r="14" spans="1:10" s="24" customFormat="1" x14ac:dyDescent="0.3">
      <c r="A14" s="1" t="s">
        <v>314</v>
      </c>
      <c r="B14" s="37"/>
      <c r="C14" s="101">
        <v>0.97461928934010156</v>
      </c>
      <c r="D14" s="101">
        <v>0.82492581602373882</v>
      </c>
      <c r="E14" s="101">
        <v>0.84453227931488806</v>
      </c>
      <c r="F14" s="101">
        <v>0.79042553191489362</v>
      </c>
      <c r="G14" s="101">
        <v>0.79555061179087871</v>
      </c>
      <c r="H14" s="101">
        <v>0.80870917573872469</v>
      </c>
    </row>
    <row r="16" spans="1:10" s="24" customFormat="1" x14ac:dyDescent="0.3">
      <c r="A16" s="1" t="s">
        <v>315</v>
      </c>
      <c r="B16" s="37"/>
      <c r="C16" s="101">
        <v>0.28999999999999998</v>
      </c>
      <c r="D16" s="38">
        <v>9.0700000000000003E-2</v>
      </c>
      <c r="E16" s="38">
        <v>0.53320000000000001</v>
      </c>
      <c r="F16" s="38">
        <v>0.39</v>
      </c>
      <c r="G16" s="38">
        <v>0.11</v>
      </c>
      <c r="H16" s="38">
        <v>0.67049999999999998</v>
      </c>
    </row>
    <row r="17" spans="1:8" s="91" customFormat="1" x14ac:dyDescent="0.3">
      <c r="A17" s="1" t="s">
        <v>316</v>
      </c>
      <c r="B17" s="37"/>
      <c r="C17" s="79">
        <v>0.16</v>
      </c>
      <c r="D17" s="113">
        <v>0.04</v>
      </c>
      <c r="E17" s="38">
        <v>0.3</v>
      </c>
      <c r="F17" s="38">
        <v>0.16</v>
      </c>
      <c r="G17" s="38">
        <v>0.08</v>
      </c>
      <c r="H17" s="38">
        <v>0.46</v>
      </c>
    </row>
    <row r="18" spans="1:8" s="24" customFormat="1" x14ac:dyDescent="0.3">
      <c r="A18" s="1" t="s">
        <v>320</v>
      </c>
      <c r="B18" s="37"/>
      <c r="C18" s="101">
        <v>7.6677316293929709E-2</v>
      </c>
      <c r="D18" s="38">
        <v>2.8737147376746638E-2</v>
      </c>
      <c r="E18" s="38">
        <v>0.14120462704427603</v>
      </c>
      <c r="F18" s="38">
        <v>8.9524365334111469E-2</v>
      </c>
      <c r="G18" s="38">
        <v>4.9340186643336247E-2</v>
      </c>
      <c r="H18" s="38">
        <v>0.27994227994227994</v>
      </c>
    </row>
    <row r="20" spans="1:8" x14ac:dyDescent="0.3">
      <c r="A20" s="1" t="s">
        <v>321</v>
      </c>
      <c r="C20" s="79">
        <v>247</v>
      </c>
      <c r="D20" s="82">
        <v>104</v>
      </c>
      <c r="E20" s="79">
        <v>228</v>
      </c>
      <c r="F20" s="82">
        <v>77</v>
      </c>
      <c r="G20" s="82">
        <v>36</v>
      </c>
      <c r="H20" s="82">
        <v>210</v>
      </c>
    </row>
    <row r="21" spans="1:8" s="24" customFormat="1" x14ac:dyDescent="0.3">
      <c r="A21" s="1" t="s">
        <v>322</v>
      </c>
      <c r="B21" s="37"/>
      <c r="C21" s="101">
        <v>0.13800000000000001</v>
      </c>
      <c r="D21" s="38">
        <v>0.19400000000000001</v>
      </c>
      <c r="E21" s="101">
        <v>0.19400000000000001</v>
      </c>
      <c r="F21" s="101">
        <v>0.307</v>
      </c>
      <c r="G21" s="101">
        <v>0.18</v>
      </c>
      <c r="H21" s="101">
        <v>0.25900000000000001</v>
      </c>
    </row>
    <row r="22" spans="1:8" s="24" customFormat="1" x14ac:dyDescent="0.3">
      <c r="A22" s="1" t="s">
        <v>323</v>
      </c>
      <c r="B22" s="37"/>
      <c r="C22" s="101">
        <v>0.104</v>
      </c>
      <c r="D22" s="38">
        <v>0.21</v>
      </c>
      <c r="E22" s="101">
        <v>0.19</v>
      </c>
      <c r="F22" s="101">
        <v>0.30399999999999999</v>
      </c>
      <c r="G22" s="101">
        <v>0.13400000000000001</v>
      </c>
      <c r="H22" s="101">
        <v>0.223</v>
      </c>
    </row>
    <row r="24" spans="1:8" x14ac:dyDescent="0.3">
      <c r="A24" s="1" t="s">
        <v>331</v>
      </c>
      <c r="C24" s="82">
        <v>55.7</v>
      </c>
      <c r="D24" s="82">
        <v>19.5</v>
      </c>
      <c r="E24" s="82">
        <v>64</v>
      </c>
      <c r="F24" s="82">
        <v>77.2</v>
      </c>
      <c r="G24" s="82">
        <v>85.9</v>
      </c>
      <c r="H24" s="82">
        <v>23</v>
      </c>
    </row>
    <row r="25" spans="1:8" x14ac:dyDescent="0.3">
      <c r="A25" s="1" t="s">
        <v>333</v>
      </c>
      <c r="C25" s="82">
        <v>120</v>
      </c>
      <c r="D25" s="82">
        <v>52</v>
      </c>
      <c r="E25" s="82">
        <v>16</v>
      </c>
      <c r="F25" s="82">
        <v>67</v>
      </c>
      <c r="G25" s="82">
        <v>16</v>
      </c>
      <c r="H25" s="82">
        <v>9</v>
      </c>
    </row>
    <row r="26" spans="1:8" x14ac:dyDescent="0.3">
      <c r="A26" s="1" t="s">
        <v>324</v>
      </c>
      <c r="C26" s="82">
        <v>0.46416666666666667</v>
      </c>
      <c r="D26" s="82">
        <v>0.375</v>
      </c>
      <c r="E26" s="82">
        <v>4</v>
      </c>
      <c r="F26" s="82">
        <v>1.1522388059701494</v>
      </c>
      <c r="G26" s="82">
        <v>5.3687500000000004</v>
      </c>
      <c r="H26" s="82">
        <v>2.5555555555555554</v>
      </c>
    </row>
    <row r="28" spans="1:8" x14ac:dyDescent="0.3">
      <c r="A28" s="1" t="s">
        <v>332</v>
      </c>
      <c r="C28" s="79">
        <v>3.58</v>
      </c>
      <c r="D28" s="82">
        <v>0.85</v>
      </c>
      <c r="E28" s="82">
        <v>9.1199999999999992</v>
      </c>
      <c r="F28" s="82">
        <v>6.64</v>
      </c>
      <c r="G28" s="82">
        <v>3.73</v>
      </c>
      <c r="H28" s="82">
        <v>5.93</v>
      </c>
    </row>
    <row r="29" spans="1:8" x14ac:dyDescent="0.3">
      <c r="A29" s="1" t="s">
        <v>334</v>
      </c>
      <c r="C29" s="82">
        <v>22</v>
      </c>
      <c r="D29" s="82">
        <v>25</v>
      </c>
      <c r="E29" s="82">
        <v>14</v>
      </c>
      <c r="F29" s="82">
        <v>38</v>
      </c>
      <c r="G29" s="82">
        <v>19</v>
      </c>
      <c r="H29" s="82">
        <v>9</v>
      </c>
    </row>
    <row r="30" spans="1:8" x14ac:dyDescent="0.3">
      <c r="A30" s="1" t="s">
        <v>325</v>
      </c>
      <c r="C30" s="82">
        <v>0.16272727272727272</v>
      </c>
      <c r="D30" s="82">
        <v>3.4000000000000002E-2</v>
      </c>
      <c r="E30" s="82">
        <v>0.65142857142857136</v>
      </c>
      <c r="F30" s="82">
        <v>0.17473684210526316</v>
      </c>
      <c r="G30" s="82">
        <v>0.19631578947368422</v>
      </c>
      <c r="H30" s="82">
        <v>0.65888888888888886</v>
      </c>
    </row>
    <row r="33" spans="1:2" x14ac:dyDescent="0.3">
      <c r="A33" s="3" t="s">
        <v>337</v>
      </c>
    </row>
    <row r="34" spans="1:2" x14ac:dyDescent="0.3">
      <c r="A34" s="1" t="str">
        <f>A7</f>
        <v>Market Capitalisation (In Cr.)</v>
      </c>
      <c r="B34" s="82">
        <f>C7</f>
        <v>5416</v>
      </c>
    </row>
    <row r="35" spans="1:2" x14ac:dyDescent="0.3">
      <c r="A35" s="1" t="s">
        <v>338</v>
      </c>
      <c r="B35" s="82">
        <v>244.80443</v>
      </c>
    </row>
    <row r="36" spans="1:2" x14ac:dyDescent="0.3">
      <c r="A36" s="1" t="s">
        <v>339</v>
      </c>
      <c r="B36" s="82">
        <f>IS!G4</f>
        <v>185499.77012916206</v>
      </c>
    </row>
    <row r="37" spans="1:2" x14ac:dyDescent="0.3">
      <c r="A37" s="1" t="s">
        <v>340</v>
      </c>
      <c r="B37" s="82">
        <f>B38*B39*100</f>
        <v>2.7763556563576852</v>
      </c>
    </row>
    <row r="38" spans="1:2" x14ac:dyDescent="0.3">
      <c r="A38" s="1" t="s">
        <v>346</v>
      </c>
      <c r="B38" s="38">
        <f>(IS!J4/IS!G4)^0.25-1</f>
        <v>0.18509037709051235</v>
      </c>
    </row>
    <row r="39" spans="1:2" x14ac:dyDescent="0.3">
      <c r="A39" s="1" t="s">
        <v>342</v>
      </c>
      <c r="B39" s="82">
        <f>Assumption!B77</f>
        <v>0.15</v>
      </c>
    </row>
    <row r="40" spans="1:2" x14ac:dyDescent="0.3">
      <c r="A40" s="1" t="s">
        <v>343</v>
      </c>
      <c r="B40" s="82">
        <f>B36*B37</f>
        <v>515013.33605114947</v>
      </c>
    </row>
    <row r="41" spans="1:2" x14ac:dyDescent="0.3">
      <c r="A41" s="28" t="s">
        <v>344</v>
      </c>
      <c r="B41" s="92">
        <f>B40/B35</f>
        <v>2103.774576510521</v>
      </c>
    </row>
    <row r="44" spans="1:2" x14ac:dyDescent="0.3">
      <c r="A44" s="1" t="s">
        <v>345</v>
      </c>
      <c r="B44" s="75">
        <f>IS!G19</f>
        <v>16063.232490697332</v>
      </c>
    </row>
    <row r="45" spans="1:2" x14ac:dyDescent="0.3">
      <c r="A45" s="1" t="s">
        <v>347</v>
      </c>
      <c r="B45" s="24">
        <f>(IS!J19/IS!G19)^0.25-1</f>
        <v>0.2840503597339914</v>
      </c>
    </row>
    <row r="46" spans="1:2" x14ac:dyDescent="0.3">
      <c r="A46" s="1" t="s">
        <v>348</v>
      </c>
      <c r="B46" s="37">
        <f>Assumption!B78</f>
        <v>1.1499999999999999</v>
      </c>
    </row>
    <row r="47" spans="1:2" x14ac:dyDescent="0.3">
      <c r="A47" s="1" t="s">
        <v>349</v>
      </c>
      <c r="B47" s="63">
        <f>B45*B46*100</f>
        <v>32.665791369409007</v>
      </c>
    </row>
    <row r="48" spans="1:2" x14ac:dyDescent="0.3">
      <c r="A48" s="1" t="s">
        <v>350</v>
      </c>
      <c r="B48" s="82">
        <f>B47*B44</f>
        <v>524718.2012594312</v>
      </c>
    </row>
    <row r="49" spans="1:13" x14ac:dyDescent="0.3">
      <c r="A49" s="28" t="s">
        <v>351</v>
      </c>
      <c r="B49" s="92">
        <f>B48/B35</f>
        <v>2143.4179163319518</v>
      </c>
    </row>
    <row r="51" spans="1:13" x14ac:dyDescent="0.3">
      <c r="A51" s="28" t="s">
        <v>371</v>
      </c>
      <c r="B51" s="95"/>
      <c r="C51" s="92"/>
      <c r="D51" s="92"/>
      <c r="E51" s="92"/>
      <c r="F51" s="92"/>
      <c r="G51" s="92"/>
      <c r="H51" s="92"/>
      <c r="I51" s="32"/>
      <c r="J51" s="32"/>
    </row>
    <row r="53" spans="1:13" x14ac:dyDescent="0.3">
      <c r="A53" s="1" t="s">
        <v>372</v>
      </c>
    </row>
    <row r="55" spans="1:13" s="2" customFormat="1" x14ac:dyDescent="0.3">
      <c r="A55" s="3" t="s">
        <v>363</v>
      </c>
      <c r="B55" s="35"/>
      <c r="C55" s="93"/>
      <c r="D55" s="93"/>
      <c r="E55" s="93"/>
      <c r="F55" s="93"/>
      <c r="G55" s="93"/>
      <c r="H55" s="111">
        <f>DATE(2027,3,31)</f>
        <v>46477</v>
      </c>
      <c r="I55" s="111">
        <f>DATE(2028,3,31)</f>
        <v>46843</v>
      </c>
      <c r="J55" s="111">
        <f>DATE(2029,3,31)</f>
        <v>47208</v>
      </c>
      <c r="M55" s="50"/>
    </row>
    <row r="56" spans="1:13" x14ac:dyDescent="0.3">
      <c r="A56" s="1" t="str">
        <f>CF!A36</f>
        <v>Cash flow from operations</v>
      </c>
      <c r="H56" s="103">
        <f>CF!H36</f>
        <v>25561.864837928002</v>
      </c>
      <c r="I56" s="103">
        <f>CF!I36</f>
        <v>46538.224155337652</v>
      </c>
      <c r="J56" s="103">
        <f>CF!J36</f>
        <v>58893.851735408593</v>
      </c>
      <c r="M56" s="47"/>
    </row>
    <row r="57" spans="1:13" x14ac:dyDescent="0.3">
      <c r="A57" s="1" t="str">
        <f>CF!A40</f>
        <v>Acquisition of property, plant and equipment</v>
      </c>
      <c r="H57" s="103">
        <f>CF!H40</f>
        <v>-1847.5359083497688</v>
      </c>
      <c r="I57" s="103">
        <f>CF!I40</f>
        <v>-1885.313480672173</v>
      </c>
      <c r="J57" s="103">
        <f>CF!J40</f>
        <v>-4402.7953536880468</v>
      </c>
    </row>
    <row r="58" spans="1:13" x14ac:dyDescent="0.3">
      <c r="A58" s="96" t="s">
        <v>352</v>
      </c>
      <c r="B58" s="97"/>
      <c r="C58" s="98"/>
      <c r="D58" s="98"/>
      <c r="E58" s="98"/>
      <c r="F58" s="98"/>
      <c r="G58" s="98"/>
      <c r="H58" s="104">
        <f>SUM(H56:H57)</f>
        <v>23714.328929578234</v>
      </c>
      <c r="I58" s="104">
        <f t="shared" ref="I58:J58" si="0">SUM(I56:I57)</f>
        <v>44652.91067466548</v>
      </c>
      <c r="J58" s="104">
        <f t="shared" si="0"/>
        <v>54491.056381720548</v>
      </c>
      <c r="M58" s="47"/>
    </row>
    <row r="59" spans="1:13" x14ac:dyDescent="0.3">
      <c r="A59" s="1" t="str">
        <f xml:space="preserve"> "Less: " &amp; CF!A57</f>
        <v>Less: Interest expense paid</v>
      </c>
      <c r="H59" s="105">
        <f>CF!H57</f>
        <v>-2783.3025214453023</v>
      </c>
      <c r="I59" s="105">
        <f>CF!I57</f>
        <v>-2650.9586442191057</v>
      </c>
      <c r="J59" s="105">
        <f>CF!J57</f>
        <v>-2556.2267132264847</v>
      </c>
      <c r="M59" s="47"/>
    </row>
    <row r="60" spans="1:13" x14ac:dyDescent="0.3">
      <c r="A60" s="1" t="str">
        <f>"Less: " &amp; CF!A55</f>
        <v>Less: Payment of principal portion of lease liabilities</v>
      </c>
      <c r="H60" s="103">
        <f>CF!H55</f>
        <v>-5779.1597778165542</v>
      </c>
      <c r="I60" s="103">
        <f>CF!I55</f>
        <v>-5501.9739609036233</v>
      </c>
      <c r="J60" s="103">
        <f>CF!J55</f>
        <v>-5303.5639684636317</v>
      </c>
      <c r="M60" s="47"/>
    </row>
    <row r="61" spans="1:13" x14ac:dyDescent="0.3">
      <c r="A61" s="96" t="s">
        <v>353</v>
      </c>
      <c r="B61" s="97"/>
      <c r="C61" s="98"/>
      <c r="D61" s="98"/>
      <c r="E61" s="98"/>
      <c r="F61" s="98"/>
      <c r="G61" s="98"/>
      <c r="H61" s="104">
        <f>SUM(H58:H60)</f>
        <v>15151.866630316379</v>
      </c>
      <c r="I61" s="104">
        <f t="shared" ref="I61:J61" si="1">SUM(I58:I60)</f>
        <v>36499.978069542747</v>
      </c>
      <c r="J61" s="104">
        <f t="shared" si="1"/>
        <v>46631.265700030432</v>
      </c>
    </row>
    <row r="62" spans="1:13" x14ac:dyDescent="0.3">
      <c r="A62" s="1" t="s">
        <v>354</v>
      </c>
      <c r="B62" s="75">
        <f>IS!J19</f>
        <v>43667.78592393818</v>
      </c>
      <c r="H62" s="105"/>
      <c r="I62" s="105"/>
      <c r="J62" s="105"/>
    </row>
    <row r="63" spans="1:13" x14ac:dyDescent="0.3">
      <c r="A63" s="1" t="s">
        <v>355</v>
      </c>
      <c r="B63" s="37">
        <f>Assumption!B80</f>
        <v>40</v>
      </c>
      <c r="H63" s="105"/>
      <c r="I63" s="105"/>
      <c r="J63" s="105"/>
    </row>
    <row r="64" spans="1:13" x14ac:dyDescent="0.3">
      <c r="A64" s="1" t="s">
        <v>356</v>
      </c>
      <c r="B64" s="75">
        <f>B62*B63</f>
        <v>1746711.4369575272</v>
      </c>
      <c r="H64" s="105">
        <v>0</v>
      </c>
      <c r="I64" s="105">
        <v>0</v>
      </c>
      <c r="J64" s="105">
        <f>B64</f>
        <v>1746711.4369575272</v>
      </c>
    </row>
    <row r="65" spans="1:10" s="2" customFormat="1" x14ac:dyDescent="0.3">
      <c r="A65" s="107" t="s">
        <v>357</v>
      </c>
      <c r="B65" s="108"/>
      <c r="C65" s="109"/>
      <c r="D65" s="109"/>
      <c r="E65" s="109"/>
      <c r="F65" s="109"/>
      <c r="G65" s="109"/>
      <c r="H65" s="110">
        <f>H61+H64</f>
        <v>15151.866630316379</v>
      </c>
      <c r="I65" s="110">
        <f>I61+I64</f>
        <v>36499.978069542747</v>
      </c>
      <c r="J65" s="110">
        <f>J61+J64</f>
        <v>1793342.7026575576</v>
      </c>
    </row>
    <row r="66" spans="1:10" x14ac:dyDescent="0.3">
      <c r="H66" s="114"/>
      <c r="I66" s="102"/>
      <c r="J66" s="102"/>
    </row>
    <row r="67" spans="1:10" x14ac:dyDescent="0.3">
      <c r="A67" s="1" t="s">
        <v>361</v>
      </c>
      <c r="B67" s="100">
        <f>Assumption!B85</f>
        <v>0.25</v>
      </c>
    </row>
    <row r="69" spans="1:10" x14ac:dyDescent="0.3">
      <c r="A69" s="1" t="s">
        <v>362</v>
      </c>
      <c r="B69" s="82">
        <f>XNPV(B67,H65:J65,H55:J55)</f>
        <v>1191371.8742510767</v>
      </c>
    </row>
    <row r="70" spans="1:10" x14ac:dyDescent="0.3">
      <c r="A70" s="28" t="s">
        <v>365</v>
      </c>
      <c r="B70" s="92">
        <f>B69/B35</f>
        <v>4866.6271041380942</v>
      </c>
    </row>
    <row r="72" spans="1:10" x14ac:dyDescent="0.3">
      <c r="A72" s="1" t="s">
        <v>367</v>
      </c>
      <c r="B72" s="82">
        <f>XNPV(B67,H61:J61,H55:J55)</f>
        <v>74159.773491171247</v>
      </c>
    </row>
    <row r="73" spans="1:10" x14ac:dyDescent="0.3">
      <c r="A73" s="1" t="s">
        <v>368</v>
      </c>
      <c r="B73" s="82">
        <f>XNPV(B67,H64:J64,H55:J55)</f>
        <v>1117212.1007599055</v>
      </c>
    </row>
    <row r="74" spans="1:10" x14ac:dyDescent="0.3">
      <c r="B74" s="82"/>
    </row>
    <row r="75" spans="1:10" x14ac:dyDescent="0.3">
      <c r="B75" s="63"/>
    </row>
    <row r="76" spans="1:10" x14ac:dyDescent="0.3">
      <c r="A76" s="1" t="s">
        <v>369</v>
      </c>
      <c r="B76" s="106">
        <f>B72/B69</f>
        <v>6.2247376401922995E-2</v>
      </c>
    </row>
    <row r="77" spans="1:10" x14ac:dyDescent="0.3">
      <c r="A77" s="1" t="s">
        <v>370</v>
      </c>
      <c r="B77" s="24">
        <f>B73/B69</f>
        <v>0.9377526235980771</v>
      </c>
    </row>
    <row r="81" spans="1:2" x14ac:dyDescent="0.3">
      <c r="A81" s="28" t="s">
        <v>384</v>
      </c>
      <c r="B81" s="121">
        <f>AVERAGE(B41,B49,B70)</f>
        <v>3037.9398656601893</v>
      </c>
    </row>
    <row r="83" spans="1:2" x14ac:dyDescent="0.3">
      <c r="A83" s="118"/>
    </row>
    <row r="84" spans="1:2" x14ac:dyDescent="0.3">
      <c r="A84" s="118"/>
    </row>
  </sheetData>
  <sheetProtection algorithmName="SHA-512" hashValue="RbfCoQdZlVe1ojlWWZuqFiF+RTWmBe02PMzXck6lfA5gJi51Jx9wAtd86aSewU2+mp/LTee20LvEdgZd3BAmcw==" saltValue="CM+Xik6h9Zykb8pjLOlm/g==" spinCount="100000" sheet="1" objects="1" scenarios="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1212-AB56-4ABA-A932-17024F026548}">
  <dimension ref="A1:J47"/>
  <sheetViews>
    <sheetView showGridLines="0" workbookViewId="0">
      <pane xSplit="2" ySplit="5" topLeftCell="C6" activePane="bottomRight" state="frozen"/>
      <selection pane="topRight" activeCell="C1" sqref="C1"/>
      <selection pane="bottomLeft" activeCell="A6" sqref="A6"/>
      <selection pane="bottomRight" activeCell="N14" sqref="N14"/>
    </sheetView>
  </sheetViews>
  <sheetFormatPr defaultRowHeight="14.4" x14ac:dyDescent="0.3"/>
  <cols>
    <col min="1" max="1" width="30.88671875" style="1" customWidth="1"/>
    <col min="2" max="2" width="12" style="1" bestFit="1" customWidth="1"/>
    <col min="3" max="3" width="10.6640625" style="4" bestFit="1" customWidth="1"/>
    <col min="4" max="6" width="8.88671875" style="4"/>
    <col min="7" max="7" width="8.88671875" style="26"/>
    <col min="8" max="8" width="9" style="26" bestFit="1" customWidth="1"/>
    <col min="9" max="10" width="8.88671875" style="26"/>
  </cols>
  <sheetData>
    <row r="1" spans="1:10" s="2" customFormat="1" ht="18" customHeight="1" x14ac:dyDescent="0.3">
      <c r="A1" s="2" t="s">
        <v>383</v>
      </c>
      <c r="G1" s="89"/>
      <c r="H1" s="89"/>
      <c r="I1" s="89"/>
      <c r="J1" s="89"/>
    </row>
    <row r="2" spans="1:10" s="2" customFormat="1" x14ac:dyDescent="0.3">
      <c r="A2" s="2" t="s">
        <v>0</v>
      </c>
      <c r="G2" s="89"/>
      <c r="H2" s="89"/>
      <c r="I2" s="89"/>
      <c r="J2" s="89"/>
    </row>
    <row r="3" spans="1:10" s="2" customFormat="1" x14ac:dyDescent="0.3">
      <c r="A3" s="2" t="s">
        <v>9</v>
      </c>
      <c r="B3" s="2" t="s">
        <v>1</v>
      </c>
      <c r="C3" s="2" t="s">
        <v>2</v>
      </c>
      <c r="D3" s="2" t="s">
        <v>3</v>
      </c>
      <c r="E3" s="2" t="s">
        <v>51</v>
      </c>
      <c r="F3" s="2" t="s">
        <v>4</v>
      </c>
      <c r="G3" s="89" t="s">
        <v>5</v>
      </c>
      <c r="H3" s="89" t="s">
        <v>6</v>
      </c>
      <c r="I3" s="89" t="s">
        <v>7</v>
      </c>
      <c r="J3" s="36" t="s">
        <v>364</v>
      </c>
    </row>
    <row r="5" spans="1:10" ht="15.6" x14ac:dyDescent="0.3">
      <c r="A5" s="116" t="s">
        <v>377</v>
      </c>
      <c r="B5" s="117">
        <f>Valuation!B81</f>
        <v>3037.9398656601893</v>
      </c>
    </row>
    <row r="7" spans="1:10" x14ac:dyDescent="0.3">
      <c r="A7" s="52" t="s">
        <v>156</v>
      </c>
      <c r="B7" s="124">
        <v>2</v>
      </c>
    </row>
    <row r="8" spans="1:10" x14ac:dyDescent="0.3">
      <c r="A8" s="1" t="s">
        <v>378</v>
      </c>
      <c r="B8" s="37">
        <v>1</v>
      </c>
      <c r="C8" s="4">
        <v>50</v>
      </c>
      <c r="D8" s="4">
        <v>56</v>
      </c>
      <c r="E8" s="4">
        <v>63</v>
      </c>
      <c r="F8" s="4">
        <v>73</v>
      </c>
      <c r="G8" s="26">
        <v>100</v>
      </c>
      <c r="H8" s="26">
        <v>120</v>
      </c>
      <c r="I8" s="26">
        <v>140</v>
      </c>
      <c r="J8" s="26">
        <v>160</v>
      </c>
    </row>
    <row r="9" spans="1:10" x14ac:dyDescent="0.3">
      <c r="A9" s="1" t="s">
        <v>379</v>
      </c>
      <c r="B9" s="37">
        <v>2</v>
      </c>
      <c r="C9" s="4">
        <v>50</v>
      </c>
      <c r="D9" s="4">
        <v>56</v>
      </c>
      <c r="E9" s="4">
        <v>63</v>
      </c>
      <c r="F9" s="4">
        <v>73</v>
      </c>
      <c r="G9" s="26">
        <v>100</v>
      </c>
      <c r="H9" s="26">
        <f>G9+8</f>
        <v>108</v>
      </c>
      <c r="I9" s="26">
        <f t="shared" ref="I9" si="0">H9+8</f>
        <v>116</v>
      </c>
      <c r="J9" s="26">
        <f>I9+8</f>
        <v>124</v>
      </c>
    </row>
    <row r="10" spans="1:10" x14ac:dyDescent="0.3">
      <c r="A10" s="1" t="s">
        <v>380</v>
      </c>
      <c r="B10" s="37">
        <v>3</v>
      </c>
      <c r="C10" s="4">
        <v>50</v>
      </c>
      <c r="D10" s="4">
        <v>56</v>
      </c>
      <c r="E10" s="4">
        <v>63</v>
      </c>
      <c r="F10" s="4">
        <v>73</v>
      </c>
      <c r="G10" s="26">
        <f>F10+10</f>
        <v>83</v>
      </c>
      <c r="H10" s="26">
        <f>G10+5</f>
        <v>88</v>
      </c>
      <c r="I10" s="26">
        <f t="shared" ref="I10" si="1">H10+5</f>
        <v>93</v>
      </c>
      <c r="J10" s="26">
        <f>I10+5</f>
        <v>98</v>
      </c>
    </row>
    <row r="13" spans="1:10" x14ac:dyDescent="0.3">
      <c r="A13" s="52" t="s">
        <v>164</v>
      </c>
      <c r="B13" s="124">
        <v>2</v>
      </c>
    </row>
    <row r="14" spans="1:10" x14ac:dyDescent="0.3">
      <c r="A14" s="1" t="s">
        <v>378</v>
      </c>
      <c r="B14" s="37">
        <v>1</v>
      </c>
      <c r="C14" s="24" t="s">
        <v>11</v>
      </c>
      <c r="D14" s="24">
        <v>0.3</v>
      </c>
      <c r="E14" s="24">
        <v>0.16</v>
      </c>
      <c r="F14" s="24">
        <v>0.17399999999999999</v>
      </c>
      <c r="G14" s="27">
        <v>0.12</v>
      </c>
      <c r="H14" s="27">
        <v>0.12</v>
      </c>
      <c r="I14" s="27">
        <v>0.12</v>
      </c>
      <c r="J14" s="27">
        <v>0.12</v>
      </c>
    </row>
    <row r="15" spans="1:10" x14ac:dyDescent="0.3">
      <c r="A15" s="1" t="s">
        <v>379</v>
      </c>
      <c r="B15" s="37">
        <v>2</v>
      </c>
      <c r="C15" s="4" t="s">
        <v>11</v>
      </c>
      <c r="D15" s="24">
        <v>0.3</v>
      </c>
      <c r="E15" s="24">
        <v>0.16</v>
      </c>
      <c r="F15" s="24">
        <v>0.17399999999999999</v>
      </c>
      <c r="G15" s="27">
        <v>0.1</v>
      </c>
      <c r="H15" s="27">
        <v>0.1</v>
      </c>
      <c r="I15" s="27">
        <v>0.1</v>
      </c>
      <c r="J15" s="27">
        <v>0.1</v>
      </c>
    </row>
    <row r="16" spans="1:10" x14ac:dyDescent="0.3">
      <c r="A16" s="1" t="s">
        <v>380</v>
      </c>
      <c r="B16" s="37">
        <v>3</v>
      </c>
      <c r="C16" s="4" t="s">
        <v>11</v>
      </c>
      <c r="D16" s="24">
        <v>0.3</v>
      </c>
      <c r="E16" s="24">
        <v>0.16</v>
      </c>
      <c r="F16" s="24">
        <v>0.17399999999999999</v>
      </c>
      <c r="G16" s="27">
        <v>0.08</v>
      </c>
      <c r="H16" s="27">
        <v>0.08</v>
      </c>
      <c r="I16" s="27">
        <v>0.08</v>
      </c>
      <c r="J16" s="27">
        <v>0.08</v>
      </c>
    </row>
    <row r="19" spans="1:10" x14ac:dyDescent="0.3">
      <c r="A19" s="52" t="s">
        <v>166</v>
      </c>
      <c r="B19" s="124">
        <v>2</v>
      </c>
    </row>
    <row r="20" spans="1:10" x14ac:dyDescent="0.3">
      <c r="A20" s="1" t="s">
        <v>378</v>
      </c>
      <c r="B20" s="37">
        <v>1</v>
      </c>
      <c r="C20" s="54" t="s">
        <v>11</v>
      </c>
      <c r="D20" s="54" t="s">
        <v>11</v>
      </c>
      <c r="E20" s="54" t="s">
        <v>11</v>
      </c>
      <c r="F20" s="54" t="s">
        <v>11</v>
      </c>
      <c r="G20" s="27">
        <v>0.4</v>
      </c>
      <c r="H20" s="27">
        <v>0.4</v>
      </c>
      <c r="I20" s="27">
        <v>0.4</v>
      </c>
      <c r="J20" s="27">
        <v>0.4</v>
      </c>
    </row>
    <row r="21" spans="1:10" x14ac:dyDescent="0.3">
      <c r="A21" s="1" t="s">
        <v>379</v>
      </c>
      <c r="B21" s="37">
        <v>2</v>
      </c>
      <c r="C21" s="54" t="s">
        <v>11</v>
      </c>
      <c r="D21" s="54" t="s">
        <v>11</v>
      </c>
      <c r="E21" s="54" t="s">
        <v>11</v>
      </c>
      <c r="F21" s="54" t="s">
        <v>11</v>
      </c>
      <c r="G21" s="27">
        <v>0.6</v>
      </c>
      <c r="H21" s="27">
        <v>0.6</v>
      </c>
      <c r="I21" s="27">
        <v>0.6</v>
      </c>
      <c r="J21" s="27">
        <v>0.6</v>
      </c>
    </row>
    <row r="22" spans="1:10" x14ac:dyDescent="0.3">
      <c r="A22" s="1" t="s">
        <v>380</v>
      </c>
      <c r="B22" s="37">
        <v>3</v>
      </c>
      <c r="C22" s="54" t="s">
        <v>11</v>
      </c>
      <c r="D22" s="54" t="s">
        <v>11</v>
      </c>
      <c r="E22" s="54" t="s">
        <v>11</v>
      </c>
      <c r="F22" s="54" t="s">
        <v>11</v>
      </c>
      <c r="G22" s="27">
        <v>0.8</v>
      </c>
      <c r="H22" s="27">
        <v>0.8</v>
      </c>
      <c r="I22" s="27">
        <v>0.8</v>
      </c>
      <c r="J22" s="27">
        <v>0.8</v>
      </c>
    </row>
    <row r="24" spans="1:10" x14ac:dyDescent="0.3">
      <c r="A24" s="52" t="s">
        <v>166</v>
      </c>
      <c r="B24" s="124">
        <v>2</v>
      </c>
    </row>
    <row r="25" spans="1:10" x14ac:dyDescent="0.3">
      <c r="A25" s="1" t="s">
        <v>378</v>
      </c>
      <c r="B25" s="37">
        <v>1</v>
      </c>
      <c r="C25" s="4" t="s">
        <v>11</v>
      </c>
      <c r="D25" s="4" t="s">
        <v>11</v>
      </c>
      <c r="E25" s="4" t="s">
        <v>11</v>
      </c>
      <c r="F25" s="4" t="s">
        <v>11</v>
      </c>
      <c r="G25" s="27">
        <v>0.7</v>
      </c>
      <c r="H25" s="27">
        <v>0.7</v>
      </c>
      <c r="I25" s="27">
        <v>0.7</v>
      </c>
      <c r="J25" s="27">
        <v>0.7</v>
      </c>
    </row>
    <row r="26" spans="1:10" x14ac:dyDescent="0.3">
      <c r="A26" s="1" t="s">
        <v>379</v>
      </c>
      <c r="B26" s="37">
        <v>2</v>
      </c>
      <c r="C26" s="4" t="s">
        <v>11</v>
      </c>
      <c r="D26" s="4" t="s">
        <v>11</v>
      </c>
      <c r="E26" s="4" t="s">
        <v>11</v>
      </c>
      <c r="F26" s="4" t="s">
        <v>11</v>
      </c>
      <c r="G26" s="27">
        <v>0.8</v>
      </c>
      <c r="H26" s="27">
        <v>0.8</v>
      </c>
      <c r="I26" s="27">
        <v>0.8</v>
      </c>
      <c r="J26" s="27">
        <v>0.8</v>
      </c>
    </row>
    <row r="27" spans="1:10" x14ac:dyDescent="0.3">
      <c r="A27" s="1" t="s">
        <v>380</v>
      </c>
      <c r="B27" s="37">
        <v>3</v>
      </c>
      <c r="C27" s="4" t="s">
        <v>11</v>
      </c>
      <c r="D27" s="4" t="s">
        <v>11</v>
      </c>
      <c r="E27" s="4" t="s">
        <v>11</v>
      </c>
      <c r="F27" s="4" t="s">
        <v>11</v>
      </c>
      <c r="G27" s="27">
        <v>0.9</v>
      </c>
      <c r="H27" s="27">
        <v>0.9</v>
      </c>
      <c r="I27" s="27">
        <v>0.9</v>
      </c>
      <c r="J27" s="27">
        <v>0.9</v>
      </c>
    </row>
    <row r="29" spans="1:10" x14ac:dyDescent="0.3">
      <c r="A29" s="52" t="s">
        <v>342</v>
      </c>
      <c r="B29" s="124">
        <v>3</v>
      </c>
    </row>
    <row r="30" spans="1:10" x14ac:dyDescent="0.3">
      <c r="A30" s="1" t="s">
        <v>378</v>
      </c>
      <c r="B30" s="37">
        <v>1</v>
      </c>
      <c r="G30" s="26">
        <v>0.4</v>
      </c>
    </row>
    <row r="31" spans="1:10" x14ac:dyDescent="0.3">
      <c r="A31" s="1" t="s">
        <v>379</v>
      </c>
      <c r="B31" s="37">
        <v>2</v>
      </c>
      <c r="G31" s="26">
        <v>0.3</v>
      </c>
    </row>
    <row r="32" spans="1:10" x14ac:dyDescent="0.3">
      <c r="A32" s="1" t="s">
        <v>380</v>
      </c>
      <c r="B32" s="37">
        <v>3</v>
      </c>
      <c r="G32" s="4">
        <v>0.15</v>
      </c>
    </row>
    <row r="34" spans="1:7" x14ac:dyDescent="0.3">
      <c r="A34" s="52" t="s">
        <v>348</v>
      </c>
      <c r="B34" s="124">
        <v>2</v>
      </c>
    </row>
    <row r="35" spans="1:7" x14ac:dyDescent="0.3">
      <c r="A35" s="1" t="s">
        <v>378</v>
      </c>
      <c r="B35" s="37">
        <v>1</v>
      </c>
      <c r="G35" s="26">
        <v>3</v>
      </c>
    </row>
    <row r="36" spans="1:7" x14ac:dyDescent="0.3">
      <c r="A36" s="1" t="s">
        <v>379</v>
      </c>
      <c r="B36" s="37">
        <v>2</v>
      </c>
      <c r="D36" s="122"/>
      <c r="G36" s="37">
        <v>1.1499999999999999</v>
      </c>
    </row>
    <row r="37" spans="1:7" x14ac:dyDescent="0.3">
      <c r="A37" s="1" t="s">
        <v>380</v>
      </c>
      <c r="B37" s="37">
        <v>3</v>
      </c>
      <c r="G37" s="26">
        <v>0.2</v>
      </c>
    </row>
    <row r="39" spans="1:7" x14ac:dyDescent="0.3">
      <c r="A39" s="52" t="s">
        <v>355</v>
      </c>
      <c r="B39" s="124">
        <v>3</v>
      </c>
    </row>
    <row r="40" spans="1:7" x14ac:dyDescent="0.3">
      <c r="A40" s="1" t="s">
        <v>378</v>
      </c>
      <c r="B40" s="37">
        <v>1</v>
      </c>
      <c r="G40" s="26">
        <v>100.07</v>
      </c>
    </row>
    <row r="41" spans="1:7" x14ac:dyDescent="0.3">
      <c r="A41" s="1" t="s">
        <v>379</v>
      </c>
      <c r="B41" s="37">
        <v>2</v>
      </c>
      <c r="G41" s="26">
        <f>AVERAGE(G40,G42)</f>
        <v>70.034999999999997</v>
      </c>
    </row>
    <row r="42" spans="1:7" x14ac:dyDescent="0.3">
      <c r="A42" s="1" t="s">
        <v>380</v>
      </c>
      <c r="B42" s="37">
        <v>3</v>
      </c>
      <c r="G42" s="26">
        <v>40</v>
      </c>
    </row>
    <row r="44" spans="1:7" x14ac:dyDescent="0.3">
      <c r="A44" s="57" t="s">
        <v>361</v>
      </c>
      <c r="B44" s="124">
        <v>3</v>
      </c>
    </row>
    <row r="45" spans="1:7" x14ac:dyDescent="0.3">
      <c r="A45" s="1" t="s">
        <v>378</v>
      </c>
      <c r="B45" s="37">
        <v>1</v>
      </c>
      <c r="G45" s="27">
        <v>0.1134</v>
      </c>
    </row>
    <row r="46" spans="1:7" x14ac:dyDescent="0.3">
      <c r="A46" s="1" t="s">
        <v>379</v>
      </c>
      <c r="B46" s="37">
        <v>2</v>
      </c>
      <c r="G46" s="27">
        <v>0.2</v>
      </c>
    </row>
    <row r="47" spans="1:7" x14ac:dyDescent="0.3">
      <c r="A47" s="1" t="s">
        <v>380</v>
      </c>
      <c r="B47" s="37">
        <v>3</v>
      </c>
      <c r="G47" s="27">
        <v>0.25</v>
      </c>
    </row>
  </sheetData>
  <sheetProtection algorithmName="SHA-512" hashValue="xd+BzcrKQDTuSk0dDTwpXgYeE3NUv3o8ktN3DdezVVHYfI9++r9/b9/yfzVOu/60edKhJQpBLPlJ38gg6wk4/w==" saltValue="X50Mff0iqeaix+vyRqPhfA==" spinCount="100000" sheet="1"/>
  <dataValidations count="1">
    <dataValidation type="list" allowBlank="1" showInputMessage="1" showErrorMessage="1" promptTitle="Choose the scenario" prompt="1- Best Case Scenario_x000a_2- Base Case Scenario _x000a_3- Worst Case Scenario" sqref="B7 B13 B19 B24 B29 B34 B39 B44" xr:uid="{CBD0C74D-18F3-42BA-B03E-A8C3B6252D73}">
      <formula1>$B$8:$B$10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A68B7-8CEB-4959-8830-DD55EE9F02AE}">
  <dimension ref="A1:J60"/>
  <sheetViews>
    <sheetView showGridLines="0" zoomScaleNormal="100" workbookViewId="0">
      <pane xSplit="2" ySplit="3" topLeftCell="C4" activePane="bottomRight" state="frozen"/>
      <selection pane="topRight" activeCell="C1" sqref="C1"/>
      <selection pane="bottomLeft" activeCell="A4" sqref="A4"/>
      <selection pane="bottomRight" activeCell="P12" sqref="P12"/>
    </sheetView>
  </sheetViews>
  <sheetFormatPr defaultRowHeight="14.4" x14ac:dyDescent="0.3"/>
  <cols>
    <col min="1" max="1" width="31.44140625" style="1" bestFit="1" customWidth="1"/>
    <col min="2" max="2" width="11" style="1" customWidth="1"/>
    <col min="3" max="4" width="10" style="70" bestFit="1" customWidth="1"/>
    <col min="5" max="6" width="11.6640625" style="70" bestFit="1" customWidth="1"/>
    <col min="7" max="10" width="11.6640625" style="71" bestFit="1" customWidth="1"/>
  </cols>
  <sheetData>
    <row r="1" spans="1:10" s="2" customFormat="1" ht="18" customHeight="1" x14ac:dyDescent="0.3">
      <c r="A1" s="2" t="s">
        <v>10</v>
      </c>
      <c r="C1" s="35"/>
      <c r="D1" s="35"/>
      <c r="E1" s="35"/>
      <c r="F1" s="35"/>
      <c r="G1" s="36"/>
      <c r="H1" s="36"/>
      <c r="I1" s="36"/>
      <c r="J1" s="36"/>
    </row>
    <row r="2" spans="1:10" s="2" customFormat="1" x14ac:dyDescent="0.3">
      <c r="A2" s="2" t="s">
        <v>0</v>
      </c>
      <c r="C2" s="35"/>
      <c r="D2" s="35"/>
      <c r="E2" s="35"/>
      <c r="F2" s="35"/>
      <c r="G2" s="36"/>
      <c r="H2" s="36"/>
      <c r="I2" s="36"/>
      <c r="J2" s="36"/>
    </row>
    <row r="3" spans="1:10" s="2" customFormat="1" x14ac:dyDescent="0.3">
      <c r="A3" s="2" t="s">
        <v>9</v>
      </c>
      <c r="B3" s="2" t="s">
        <v>1</v>
      </c>
      <c r="C3" s="35" t="s">
        <v>2</v>
      </c>
      <c r="D3" s="35" t="s">
        <v>3</v>
      </c>
      <c r="E3" s="35" t="s">
        <v>51</v>
      </c>
      <c r="F3" s="35" t="s">
        <v>4</v>
      </c>
      <c r="G3" s="36" t="s">
        <v>5</v>
      </c>
      <c r="H3" s="36" t="s">
        <v>6</v>
      </c>
      <c r="I3" s="36" t="s">
        <v>7</v>
      </c>
      <c r="J3" s="36" t="s">
        <v>364</v>
      </c>
    </row>
    <row r="4" spans="1:10" s="2" customFormat="1" x14ac:dyDescent="0.3">
      <c r="A4" s="3" t="s">
        <v>12</v>
      </c>
      <c r="B4" s="3"/>
      <c r="C4" s="68"/>
      <c r="D4" s="68"/>
      <c r="E4" s="68"/>
      <c r="F4" s="68"/>
      <c r="G4" s="69"/>
      <c r="H4" s="69"/>
      <c r="I4" s="69"/>
      <c r="J4" s="69"/>
    </row>
    <row r="5" spans="1:10" s="2" customFormat="1" x14ac:dyDescent="0.3">
      <c r="A5" s="3" t="s">
        <v>13</v>
      </c>
      <c r="B5" s="3"/>
      <c r="C5" s="68"/>
      <c r="D5" s="68"/>
      <c r="E5" s="68"/>
      <c r="F5" s="68"/>
      <c r="G5" s="69"/>
      <c r="H5" s="69"/>
      <c r="I5" s="69"/>
      <c r="J5" s="69"/>
    </row>
    <row r="6" spans="1:10" x14ac:dyDescent="0.3">
      <c r="A6" s="1" t="s">
        <v>14</v>
      </c>
      <c r="B6" s="1" t="s">
        <v>389</v>
      </c>
      <c r="C6" s="70">
        <v>3726.02</v>
      </c>
      <c r="D6" s="70">
        <v>5284.41</v>
      </c>
      <c r="E6" s="70">
        <v>6324.2</v>
      </c>
      <c r="F6" s="70">
        <v>9776.7099999999991</v>
      </c>
      <c r="G6" s="71">
        <f>'Capex Schedule'!G114</f>
        <v>9863.8534278150491</v>
      </c>
      <c r="H6" s="71">
        <f>'Capex Schedule'!H114</f>
        <v>9664.919004040963</v>
      </c>
      <c r="I6" s="71">
        <f>'Capex Schedule'!I114</f>
        <v>9276.5956672156208</v>
      </c>
      <c r="J6" s="71">
        <f>'Capex Schedule'!J114</f>
        <v>11171.032203568018</v>
      </c>
    </row>
    <row r="7" spans="1:10" x14ac:dyDescent="0.3">
      <c r="A7" s="1" t="s">
        <v>15</v>
      </c>
      <c r="B7" s="1" t="s">
        <v>389</v>
      </c>
      <c r="C7" s="70">
        <v>0</v>
      </c>
      <c r="D7" s="70">
        <v>401.45</v>
      </c>
      <c r="E7" s="70">
        <v>701.79</v>
      </c>
      <c r="F7" s="70">
        <v>3057.41</v>
      </c>
      <c r="G7" s="71">
        <f>'Capex Schedule'!G124</f>
        <v>3057.41</v>
      </c>
      <c r="H7" s="71">
        <f>'Capex Schedule'!H124</f>
        <v>3057.41</v>
      </c>
      <c r="I7" s="71">
        <f>'Capex Schedule'!I124</f>
        <v>3057.41</v>
      </c>
      <c r="J7" s="71">
        <f>'Capex Schedule'!J124</f>
        <v>3057.41</v>
      </c>
    </row>
    <row r="8" spans="1:10" x14ac:dyDescent="0.3">
      <c r="A8" s="1" t="s">
        <v>16</v>
      </c>
      <c r="B8" s="1" t="s">
        <v>200</v>
      </c>
      <c r="C8" s="70">
        <v>66.3</v>
      </c>
      <c r="D8" s="70">
        <v>4070.65</v>
      </c>
      <c r="E8" s="70">
        <v>4111.13</v>
      </c>
      <c r="F8" s="70">
        <v>4297.7299999999996</v>
      </c>
      <c r="G8" s="71">
        <v>4297.7299999999996</v>
      </c>
      <c r="H8" s="71">
        <v>4297.7299999999996</v>
      </c>
      <c r="I8" s="71">
        <v>4297.7299999999996</v>
      </c>
      <c r="J8" s="71">
        <v>4297.7299999999996</v>
      </c>
    </row>
    <row r="9" spans="1:10" x14ac:dyDescent="0.3">
      <c r="A9" s="1" t="s">
        <v>17</v>
      </c>
      <c r="B9" s="1" t="s">
        <v>254</v>
      </c>
      <c r="C9" s="70">
        <v>9159.1299999999992</v>
      </c>
      <c r="D9" s="70">
        <v>10345.040000000001</v>
      </c>
      <c r="E9" s="70">
        <v>12541.03</v>
      </c>
      <c r="F9" s="70">
        <v>26045.040000000001</v>
      </c>
      <c r="G9" s="71">
        <f>'Lease Schedule '!G10</f>
        <v>23933.78</v>
      </c>
      <c r="H9" s="71">
        <f>'Lease Schedule '!H10</f>
        <v>22438.334999999999</v>
      </c>
      <c r="I9" s="71">
        <f>'Lease Schedule '!I10</f>
        <v>21406.511250000003</v>
      </c>
      <c r="J9" s="71">
        <f>'Lease Schedule '!J10</f>
        <v>27728.171437500001</v>
      </c>
    </row>
    <row r="10" spans="1:10" x14ac:dyDescent="0.3">
      <c r="A10" s="1" t="s">
        <v>18</v>
      </c>
      <c r="B10" s="1" t="s">
        <v>200</v>
      </c>
      <c r="C10" s="70">
        <v>0</v>
      </c>
      <c r="D10" s="70">
        <v>0</v>
      </c>
      <c r="E10" s="70">
        <v>154.47</v>
      </c>
      <c r="F10" s="70">
        <v>3.5</v>
      </c>
      <c r="G10" s="71">
        <v>3.5</v>
      </c>
      <c r="H10" s="71">
        <v>3.5</v>
      </c>
      <c r="I10" s="71">
        <v>3.5</v>
      </c>
      <c r="J10" s="71">
        <v>3.5</v>
      </c>
    </row>
    <row r="11" spans="1:10" x14ac:dyDescent="0.3">
      <c r="A11" s="1" t="s">
        <v>19</v>
      </c>
      <c r="B11" s="1" t="s">
        <v>200</v>
      </c>
      <c r="C11" s="70">
        <v>157.47</v>
      </c>
      <c r="D11" s="70">
        <v>207.15</v>
      </c>
      <c r="E11" s="70">
        <v>2401.14</v>
      </c>
      <c r="F11" s="70">
        <v>3444.76</v>
      </c>
      <c r="G11" s="71">
        <v>3444.76</v>
      </c>
      <c r="H11" s="71">
        <v>3444.76</v>
      </c>
      <c r="I11" s="71">
        <v>3444.76</v>
      </c>
      <c r="J11" s="71">
        <v>3444.76</v>
      </c>
    </row>
    <row r="12" spans="1:10" x14ac:dyDescent="0.3">
      <c r="A12" s="1" t="s">
        <v>52</v>
      </c>
      <c r="B12" s="1" t="s">
        <v>200</v>
      </c>
      <c r="C12" s="70">
        <v>0</v>
      </c>
      <c r="D12" s="70">
        <v>0</v>
      </c>
      <c r="E12" s="70">
        <v>134.91999999999999</v>
      </c>
      <c r="F12" s="70">
        <v>177.45</v>
      </c>
      <c r="G12" s="71">
        <v>177.45</v>
      </c>
      <c r="H12" s="71">
        <v>177.45</v>
      </c>
      <c r="I12" s="71">
        <v>177.45</v>
      </c>
      <c r="J12" s="71">
        <v>177.45</v>
      </c>
    </row>
    <row r="13" spans="1:10" x14ac:dyDescent="0.3">
      <c r="A13" s="1" t="s">
        <v>20</v>
      </c>
      <c r="B13" s="1" t="s">
        <v>200</v>
      </c>
      <c r="C13" s="70">
        <v>3.67</v>
      </c>
      <c r="D13" s="70">
        <v>5.67</v>
      </c>
      <c r="E13" s="70">
        <v>1.7</v>
      </c>
      <c r="F13" s="70">
        <v>0</v>
      </c>
      <c r="G13" s="71">
        <v>0</v>
      </c>
      <c r="H13" s="71">
        <v>0</v>
      </c>
      <c r="I13" s="71">
        <v>0</v>
      </c>
      <c r="J13" s="71">
        <v>0</v>
      </c>
    </row>
    <row r="14" spans="1:10" x14ac:dyDescent="0.3">
      <c r="A14" s="1" t="s">
        <v>21</v>
      </c>
      <c r="B14" s="1" t="s">
        <v>200</v>
      </c>
      <c r="C14" s="70">
        <v>1106.96</v>
      </c>
      <c r="D14" s="70">
        <v>2452.0100000000002</v>
      </c>
      <c r="E14" s="70">
        <v>2816.99</v>
      </c>
      <c r="F14" s="70">
        <v>2762.94</v>
      </c>
      <c r="G14" s="71">
        <v>2762.94</v>
      </c>
      <c r="H14" s="71">
        <v>2762.94</v>
      </c>
      <c r="I14" s="71">
        <v>2762.94</v>
      </c>
      <c r="J14" s="71">
        <v>2762.94</v>
      </c>
    </row>
    <row r="15" spans="1:10" x14ac:dyDescent="0.3">
      <c r="A15" s="1" t="s">
        <v>22</v>
      </c>
      <c r="B15" s="1" t="s">
        <v>200</v>
      </c>
      <c r="C15" s="70">
        <v>188.32</v>
      </c>
      <c r="D15" s="70">
        <v>234.79</v>
      </c>
      <c r="E15" s="70">
        <v>209.58</v>
      </c>
      <c r="F15" s="70">
        <v>171.06</v>
      </c>
      <c r="G15" s="71">
        <v>171.06</v>
      </c>
      <c r="H15" s="71">
        <v>171.06</v>
      </c>
      <c r="I15" s="71">
        <v>171.06</v>
      </c>
      <c r="J15" s="71">
        <v>171.06</v>
      </c>
    </row>
    <row r="16" spans="1:10" x14ac:dyDescent="0.3">
      <c r="A16" s="1" t="s">
        <v>23</v>
      </c>
      <c r="B16" s="1" t="s">
        <v>200</v>
      </c>
      <c r="C16" s="70">
        <v>906.17</v>
      </c>
      <c r="D16" s="70">
        <v>860.62</v>
      </c>
      <c r="E16" s="70">
        <v>903.91</v>
      </c>
      <c r="F16" s="70">
        <v>941.52</v>
      </c>
      <c r="G16" s="71">
        <v>941.52</v>
      </c>
      <c r="H16" s="71">
        <v>941.52</v>
      </c>
      <c r="I16" s="71">
        <v>941.52</v>
      </c>
      <c r="J16" s="71">
        <v>941.52</v>
      </c>
    </row>
    <row r="17" spans="1:10" x14ac:dyDescent="0.3">
      <c r="A17" s="1" t="s">
        <v>24</v>
      </c>
      <c r="B17" s="1" t="s">
        <v>200</v>
      </c>
      <c r="C17" s="70">
        <v>1479.39</v>
      </c>
      <c r="D17" s="70">
        <v>255.24</v>
      </c>
      <c r="E17" s="72">
        <v>357.77</v>
      </c>
      <c r="F17" s="70">
        <v>1234.01</v>
      </c>
      <c r="G17" s="71">
        <v>1234.01</v>
      </c>
      <c r="H17" s="71">
        <v>1234.01</v>
      </c>
      <c r="I17" s="71">
        <v>1234.01</v>
      </c>
      <c r="J17" s="71">
        <v>1234.01</v>
      </c>
    </row>
    <row r="18" spans="1:10" s="2" customFormat="1" x14ac:dyDescent="0.3">
      <c r="A18" s="28" t="s">
        <v>25</v>
      </c>
      <c r="B18" s="28"/>
      <c r="C18" s="73">
        <f t="shared" ref="C18:J18" si="0">SUM(C6:C17)</f>
        <v>16793.43</v>
      </c>
      <c r="D18" s="73">
        <f t="shared" si="0"/>
        <v>24117.030000000006</v>
      </c>
      <c r="E18" s="73">
        <f t="shared" si="0"/>
        <v>30658.630000000005</v>
      </c>
      <c r="F18" s="73">
        <f t="shared" si="0"/>
        <v>51912.13</v>
      </c>
      <c r="G18" s="74">
        <f t="shared" si="0"/>
        <v>49888.013427815044</v>
      </c>
      <c r="H18" s="74">
        <f t="shared" si="0"/>
        <v>48193.634004040963</v>
      </c>
      <c r="I18" s="74">
        <f t="shared" si="0"/>
        <v>46773.486917215625</v>
      </c>
      <c r="J18" s="74">
        <f t="shared" si="0"/>
        <v>54989.583641068013</v>
      </c>
    </row>
    <row r="19" spans="1:10" s="2" customFormat="1" x14ac:dyDescent="0.3">
      <c r="A19" s="3" t="s">
        <v>26</v>
      </c>
      <c r="B19" s="3"/>
      <c r="C19" s="35"/>
      <c r="D19" s="35"/>
      <c r="E19" s="35"/>
      <c r="F19" s="35"/>
      <c r="G19" s="36"/>
      <c r="H19" s="36"/>
      <c r="I19" s="36"/>
      <c r="J19" s="36"/>
    </row>
    <row r="20" spans="1:10" x14ac:dyDescent="0.3">
      <c r="A20" s="1" t="s">
        <v>27</v>
      </c>
      <c r="B20" s="1" t="s">
        <v>291</v>
      </c>
      <c r="C20" s="70">
        <v>24993.29</v>
      </c>
      <c r="D20" s="72">
        <v>33987.29</v>
      </c>
      <c r="E20" s="72">
        <v>43969.18</v>
      </c>
      <c r="F20" s="70">
        <v>59267.06</v>
      </c>
      <c r="G20" s="71">
        <f>'WC Schedule'!G8</f>
        <v>77147.575631799438</v>
      </c>
      <c r="H20" s="71">
        <f>'WC Schedule'!H8</f>
        <v>94203.290267400807</v>
      </c>
      <c r="I20" s="71">
        <f>'WC Schedule'!I8</f>
        <v>106707.11834862526</v>
      </c>
      <c r="J20" s="71">
        <f>'WC Schedule'!J8</f>
        <v>126306.86129829069</v>
      </c>
    </row>
    <row r="21" spans="1:10" x14ac:dyDescent="0.3">
      <c r="A21" s="1" t="s">
        <v>28</v>
      </c>
      <c r="B21" s="1" t="s">
        <v>291</v>
      </c>
      <c r="C21" s="70">
        <v>518.26</v>
      </c>
      <c r="D21" s="70">
        <v>617.74</v>
      </c>
      <c r="E21" s="70">
        <v>1557.19</v>
      </c>
      <c r="F21" s="70">
        <v>1825.95</v>
      </c>
      <c r="G21" s="71">
        <f>'WC Schedule'!G13</f>
        <v>1753.3539916318057</v>
      </c>
      <c r="H21" s="71">
        <f>'WC Schedule'!H13</f>
        <v>2355.0822566850202</v>
      </c>
      <c r="I21" s="71">
        <f>'WC Schedule'!I13</f>
        <v>2808.0820618059279</v>
      </c>
      <c r="J21" s="71">
        <f>'WC Schedule'!J13</f>
        <v>3508.5239249525193</v>
      </c>
    </row>
    <row r="22" spans="1:10" x14ac:dyDescent="0.3">
      <c r="A22" s="1" t="s">
        <v>29</v>
      </c>
      <c r="B22" s="1" t="s">
        <v>390</v>
      </c>
      <c r="C22" s="70">
        <v>3768.32</v>
      </c>
      <c r="D22" s="70">
        <v>2788.87</v>
      </c>
      <c r="E22" s="70">
        <v>6057.91</v>
      </c>
      <c r="F22" s="70">
        <v>2848.01</v>
      </c>
      <c r="G22" s="71">
        <f>CF!G62</f>
        <v>10480.147584096139</v>
      </c>
      <c r="H22" s="71">
        <f>CF!H62</f>
        <v>21179.51928138268</v>
      </c>
      <c r="I22" s="71">
        <f>CF!I62</f>
        <v>48736.83761563446</v>
      </c>
      <c r="J22" s="71">
        <f>CF!J62</f>
        <v>82809.187529386545</v>
      </c>
    </row>
    <row r="23" spans="1:10" x14ac:dyDescent="0.3">
      <c r="A23" s="1" t="s">
        <v>30</v>
      </c>
      <c r="B23" s="1" t="s">
        <v>200</v>
      </c>
      <c r="C23" s="70">
        <v>215.58</v>
      </c>
      <c r="D23" s="70">
        <v>20074.43</v>
      </c>
      <c r="E23" s="70">
        <v>28488.15</v>
      </c>
      <c r="F23" s="70">
        <v>19154.439999999999</v>
      </c>
      <c r="G23" s="71">
        <v>19154.439999999999</v>
      </c>
      <c r="H23" s="71">
        <v>19154.439999999999</v>
      </c>
      <c r="I23" s="71">
        <v>19154.439999999999</v>
      </c>
      <c r="J23" s="71">
        <v>19154.439999999999</v>
      </c>
    </row>
    <row r="24" spans="1:10" x14ac:dyDescent="0.3">
      <c r="A24" s="1" t="s">
        <v>20</v>
      </c>
      <c r="B24" s="1" t="s">
        <v>391</v>
      </c>
      <c r="C24" s="70">
        <v>26.94</v>
      </c>
      <c r="D24" s="70">
        <v>25.28</v>
      </c>
      <c r="E24" s="70">
        <v>23.73</v>
      </c>
      <c r="F24" s="70">
        <v>4.68</v>
      </c>
      <c r="G24" s="71">
        <v>4.68</v>
      </c>
      <c r="H24" s="71">
        <v>4.68</v>
      </c>
      <c r="I24" s="71">
        <v>4.68</v>
      </c>
      <c r="J24" s="71">
        <v>4.68</v>
      </c>
    </row>
    <row r="25" spans="1:10" x14ac:dyDescent="0.3">
      <c r="A25" s="1" t="s">
        <v>21</v>
      </c>
      <c r="B25" s="1" t="s">
        <v>200</v>
      </c>
      <c r="C25" s="70">
        <v>710.52</v>
      </c>
      <c r="D25" s="70">
        <v>1500.93</v>
      </c>
      <c r="E25" s="70">
        <v>2165</v>
      </c>
      <c r="F25" s="70">
        <v>1116.71</v>
      </c>
      <c r="G25" s="71">
        <v>1116.71</v>
      </c>
      <c r="H25" s="71">
        <v>1116.71</v>
      </c>
      <c r="I25" s="71">
        <v>1116.71</v>
      </c>
      <c r="J25" s="71">
        <v>1116.71</v>
      </c>
    </row>
    <row r="26" spans="1:10" x14ac:dyDescent="0.3">
      <c r="A26" s="1" t="s">
        <v>31</v>
      </c>
      <c r="B26" s="1" t="s">
        <v>200</v>
      </c>
      <c r="C26" s="70">
        <v>3409.35</v>
      </c>
      <c r="D26" s="70">
        <v>4858.0600000000004</v>
      </c>
      <c r="E26" s="70">
        <v>4144.3100000000004</v>
      </c>
      <c r="F26" s="70">
        <v>4835.5200000000004</v>
      </c>
      <c r="G26" s="71">
        <v>4835.5200000000004</v>
      </c>
      <c r="H26" s="71">
        <v>4835.5200000000004</v>
      </c>
      <c r="I26" s="71">
        <v>4835.5200000000004</v>
      </c>
      <c r="J26" s="71">
        <v>4835.5200000000004</v>
      </c>
    </row>
    <row r="27" spans="1:10" s="2" customFormat="1" x14ac:dyDescent="0.3">
      <c r="A27" s="28" t="s">
        <v>32</v>
      </c>
      <c r="B27" s="28"/>
      <c r="C27" s="73">
        <f t="shared" ref="C27:J27" si="1">SUM(C20:C26)</f>
        <v>33642.26</v>
      </c>
      <c r="D27" s="73">
        <f t="shared" si="1"/>
        <v>63852.6</v>
      </c>
      <c r="E27" s="73">
        <f t="shared" si="1"/>
        <v>86405.469999999987</v>
      </c>
      <c r="F27" s="73">
        <f t="shared" si="1"/>
        <v>89052.37</v>
      </c>
      <c r="G27" s="74">
        <f t="shared" si="1"/>
        <v>114492.42720752739</v>
      </c>
      <c r="H27" s="74">
        <f t="shared" si="1"/>
        <v>142849.24180546848</v>
      </c>
      <c r="I27" s="74">
        <f t="shared" si="1"/>
        <v>183363.3880260656</v>
      </c>
      <c r="J27" s="74">
        <f t="shared" si="1"/>
        <v>237735.92275262973</v>
      </c>
    </row>
    <row r="28" spans="1:10" s="2" customFormat="1" x14ac:dyDescent="0.3">
      <c r="A28" s="3"/>
      <c r="B28" s="3"/>
      <c r="C28" s="35"/>
      <c r="D28" s="35"/>
      <c r="E28" s="35"/>
      <c r="F28" s="35"/>
      <c r="G28" s="36"/>
      <c r="H28" s="36"/>
      <c r="I28" s="36"/>
      <c r="J28" s="36"/>
    </row>
    <row r="29" spans="1:10" s="2" customFormat="1" x14ac:dyDescent="0.3">
      <c r="A29" s="28" t="s">
        <v>33</v>
      </c>
      <c r="B29" s="28"/>
      <c r="C29" s="73">
        <f t="shared" ref="C29:J29" si="2">C18+C27</f>
        <v>50435.69</v>
      </c>
      <c r="D29" s="73">
        <f t="shared" si="2"/>
        <v>87969.63</v>
      </c>
      <c r="E29" s="73">
        <f t="shared" si="2"/>
        <v>117064.09999999999</v>
      </c>
      <c r="F29" s="73">
        <f t="shared" si="2"/>
        <v>140964.5</v>
      </c>
      <c r="G29" s="74">
        <f t="shared" si="2"/>
        <v>164380.44063534244</v>
      </c>
      <c r="H29" s="74">
        <f t="shared" si="2"/>
        <v>191042.87580950945</v>
      </c>
      <c r="I29" s="74">
        <f t="shared" si="2"/>
        <v>230136.87494328123</v>
      </c>
      <c r="J29" s="74">
        <f t="shared" si="2"/>
        <v>292725.50639369775</v>
      </c>
    </row>
    <row r="30" spans="1:10" s="2" customFormat="1" x14ac:dyDescent="0.3">
      <c r="A30" s="3"/>
      <c r="B30" s="3"/>
      <c r="C30" s="119"/>
      <c r="D30" s="119"/>
      <c r="E30" s="119"/>
      <c r="F30" s="119"/>
      <c r="G30" s="120"/>
      <c r="H30" s="120"/>
      <c r="I30" s="120"/>
      <c r="J30" s="120"/>
    </row>
    <row r="31" spans="1:10" s="2" customFormat="1" x14ac:dyDescent="0.3">
      <c r="A31" s="3" t="s">
        <v>34</v>
      </c>
      <c r="B31" s="3"/>
      <c r="C31" s="35"/>
      <c r="D31" s="35"/>
      <c r="E31" s="35"/>
      <c r="F31" s="35"/>
      <c r="G31" s="36"/>
      <c r="H31" s="36"/>
      <c r="I31" s="36"/>
      <c r="J31" s="36"/>
    </row>
    <row r="32" spans="1:10" x14ac:dyDescent="0.3">
      <c r="A32" s="3" t="s">
        <v>35</v>
      </c>
    </row>
    <row r="33" spans="1:10" x14ac:dyDescent="0.3">
      <c r="A33" s="1" t="s">
        <v>36</v>
      </c>
      <c r="B33" s="1" t="s">
        <v>200</v>
      </c>
      <c r="C33" s="70">
        <v>1907.82</v>
      </c>
      <c r="D33" s="70">
        <v>2334.92</v>
      </c>
      <c r="E33" s="70">
        <v>2448.04</v>
      </c>
      <c r="F33" s="70">
        <v>2448.04</v>
      </c>
      <c r="G33" s="71">
        <v>2448.04</v>
      </c>
      <c r="H33" s="71">
        <v>2448.04</v>
      </c>
      <c r="I33" s="71">
        <v>2448.04</v>
      </c>
      <c r="J33" s="71">
        <v>2448.04</v>
      </c>
    </row>
    <row r="34" spans="1:10" x14ac:dyDescent="0.3">
      <c r="A34" s="1" t="s">
        <v>37</v>
      </c>
      <c r="C34" s="70">
        <v>21260.67</v>
      </c>
      <c r="D34" s="70">
        <v>60814.720000000001</v>
      </c>
      <c r="E34" s="70">
        <v>85948.65</v>
      </c>
      <c r="F34" s="70">
        <v>95771.65</v>
      </c>
      <c r="G34" s="71">
        <f>F34+IS!G21</f>
        <v>111834.88249069733</v>
      </c>
      <c r="H34" s="71">
        <f>G34+IS!H21</f>
        <v>131885.8886680537</v>
      </c>
      <c r="I34" s="71">
        <f>H34+IS!I21</f>
        <v>165018.28243687225</v>
      </c>
      <c r="J34" s="71">
        <f>I34+IS!J21</f>
        <v>208686.06836081043</v>
      </c>
    </row>
    <row r="35" spans="1:10" s="2" customFormat="1" x14ac:dyDescent="0.3">
      <c r="A35" s="28" t="s">
        <v>38</v>
      </c>
      <c r="B35" s="28"/>
      <c r="C35" s="73">
        <f>SUM(C33:C34)</f>
        <v>23168.489999999998</v>
      </c>
      <c r="D35" s="73">
        <f>SUM(D33:D34)</f>
        <v>63149.64</v>
      </c>
      <c r="E35" s="73">
        <f>SUM(E33:E34)</f>
        <v>88396.689999999988</v>
      </c>
      <c r="F35" s="73">
        <f>SUM(F33:F34)</f>
        <v>98219.689999999988</v>
      </c>
      <c r="G35" s="74">
        <f t="shared" ref="G35:J35" si="3">SUM(G33:G34)</f>
        <v>114282.92249069732</v>
      </c>
      <c r="H35" s="74">
        <f t="shared" si="3"/>
        <v>134333.9286680537</v>
      </c>
      <c r="I35" s="74">
        <f t="shared" si="3"/>
        <v>167466.32243687226</v>
      </c>
      <c r="J35" s="74">
        <f t="shared" si="3"/>
        <v>211134.10836081044</v>
      </c>
    </row>
    <row r="36" spans="1:10" x14ac:dyDescent="0.3">
      <c r="A36" s="3" t="s">
        <v>39</v>
      </c>
    </row>
    <row r="37" spans="1:10" x14ac:dyDescent="0.3">
      <c r="A37" s="3" t="s">
        <v>40</v>
      </c>
    </row>
    <row r="38" spans="1:10" x14ac:dyDescent="0.3">
      <c r="A38" s="1" t="s">
        <v>41</v>
      </c>
      <c r="B38" s="1" t="s">
        <v>391</v>
      </c>
      <c r="C38" s="70">
        <v>2764.42</v>
      </c>
      <c r="D38" s="70">
        <v>711.77</v>
      </c>
      <c r="E38" s="70">
        <v>205.98</v>
      </c>
      <c r="F38" s="72">
        <v>12.55</v>
      </c>
      <c r="G38" s="71">
        <f>'Debt Schedule '!G15</f>
        <v>12.55</v>
      </c>
      <c r="H38" s="71">
        <f>'Debt Schedule '!H15</f>
        <v>12.55</v>
      </c>
      <c r="I38" s="71">
        <f>'Debt Schedule '!I15</f>
        <v>12.55</v>
      </c>
      <c r="J38" s="71">
        <f>'Debt Schedule '!J15</f>
        <v>12.55</v>
      </c>
    </row>
    <row r="39" spans="1:10" x14ac:dyDescent="0.3">
      <c r="A39" s="1" t="s">
        <v>42</v>
      </c>
      <c r="B39" s="1" t="s">
        <v>254</v>
      </c>
      <c r="C39" s="70">
        <v>7948.57</v>
      </c>
      <c r="D39" s="70">
        <v>8916.7999999999993</v>
      </c>
      <c r="E39" s="70">
        <v>11100.65</v>
      </c>
      <c r="F39" s="70">
        <v>24496.61</v>
      </c>
      <c r="G39" s="71">
        <f>'Lease Schedule '!G32</f>
        <v>22881.927824180555</v>
      </c>
      <c r="H39" s="71">
        <f>'Lease Schedule '!H32</f>
        <v>21784.442013036485</v>
      </c>
      <c r="I39" s="71">
        <f>'Lease Schedule '!I32</f>
        <v>20998.860146268409</v>
      </c>
      <c r="J39" s="71">
        <f>'Lease Schedule '!J32</f>
        <v>26413.125573074318</v>
      </c>
    </row>
    <row r="40" spans="1:10" x14ac:dyDescent="0.3">
      <c r="A40" s="1" t="s">
        <v>43</v>
      </c>
      <c r="B40" s="1" t="s">
        <v>200</v>
      </c>
      <c r="C40" s="70">
        <v>66.900000000000006</v>
      </c>
      <c r="D40" s="70">
        <v>47.15</v>
      </c>
      <c r="E40" s="70">
        <v>34.590000000000003</v>
      </c>
      <c r="F40" s="70">
        <v>0</v>
      </c>
      <c r="G40" s="71">
        <v>0</v>
      </c>
      <c r="H40" s="71">
        <v>0</v>
      </c>
      <c r="I40" s="71">
        <v>0</v>
      </c>
      <c r="J40" s="71">
        <v>0</v>
      </c>
    </row>
    <row r="41" spans="1:10" x14ac:dyDescent="0.3">
      <c r="A41" t="s">
        <v>53</v>
      </c>
      <c r="B41" s="1" t="s">
        <v>200</v>
      </c>
      <c r="C41" s="70">
        <v>142.35</v>
      </c>
      <c r="D41" s="70">
        <v>192.35</v>
      </c>
      <c r="E41" s="70">
        <v>249.5</v>
      </c>
      <c r="F41" s="70">
        <v>288.3</v>
      </c>
      <c r="G41" s="71">
        <v>288.3</v>
      </c>
      <c r="H41" s="71">
        <v>288.3</v>
      </c>
      <c r="I41" s="71">
        <v>288.3</v>
      </c>
      <c r="J41" s="71">
        <v>288.3</v>
      </c>
    </row>
    <row r="42" spans="1:10" s="2" customFormat="1" x14ac:dyDescent="0.3">
      <c r="A42" s="28" t="s">
        <v>44</v>
      </c>
      <c r="B42" s="28"/>
      <c r="C42" s="73">
        <f t="shared" ref="C42:J42" si="4">SUM(C38:C41)</f>
        <v>10922.24</v>
      </c>
      <c r="D42" s="73">
        <f t="shared" si="4"/>
        <v>9868.07</v>
      </c>
      <c r="E42" s="73">
        <f t="shared" si="4"/>
        <v>11590.72</v>
      </c>
      <c r="F42" s="73">
        <f t="shared" si="4"/>
        <v>24797.46</v>
      </c>
      <c r="G42" s="74">
        <f t="shared" si="4"/>
        <v>23182.777824180554</v>
      </c>
      <c r="H42" s="74">
        <f t="shared" si="4"/>
        <v>22085.292013036484</v>
      </c>
      <c r="I42" s="74">
        <f t="shared" si="4"/>
        <v>21299.710146268408</v>
      </c>
      <c r="J42" s="74">
        <f t="shared" si="4"/>
        <v>26713.975573074316</v>
      </c>
    </row>
    <row r="43" spans="1:10" x14ac:dyDescent="0.3">
      <c r="A43" s="3" t="s">
        <v>45</v>
      </c>
    </row>
    <row r="44" spans="1:10" x14ac:dyDescent="0.3">
      <c r="A44" s="1" t="s">
        <v>41</v>
      </c>
      <c r="C44" s="70">
        <v>3177.81</v>
      </c>
      <c r="D44" s="70">
        <v>87.25</v>
      </c>
      <c r="E44" s="72">
        <v>463.87</v>
      </c>
      <c r="F44" s="70">
        <v>183.46</v>
      </c>
      <c r="G44" s="71">
        <f>'Debt Schedule '!G16</f>
        <v>183.46</v>
      </c>
      <c r="H44" s="71">
        <f>'Debt Schedule '!H16</f>
        <v>183.46</v>
      </c>
      <c r="I44" s="71">
        <f>'Debt Schedule '!I16</f>
        <v>183.46</v>
      </c>
      <c r="J44" s="71">
        <f>'Debt Schedule '!J16</f>
        <v>183.46</v>
      </c>
    </row>
    <row r="45" spans="1:10" x14ac:dyDescent="0.3">
      <c r="A45" s="1" t="s">
        <v>42</v>
      </c>
      <c r="B45" s="1" t="s">
        <v>254</v>
      </c>
      <c r="C45" s="70">
        <v>2238.4</v>
      </c>
      <c r="D45" s="70">
        <v>2356.75</v>
      </c>
      <c r="E45" s="70">
        <v>2731.21</v>
      </c>
      <c r="F45" s="70">
        <v>4179.4799999999996</v>
      </c>
      <c r="G45" s="71">
        <f>'Lease Schedule '!G31</f>
        <v>4037.9872630906862</v>
      </c>
      <c r="H45" s="71">
        <f>'Lease Schedule '!H31</f>
        <v>3844.3132964182032</v>
      </c>
      <c r="I45" s="71">
        <f>'Lease Schedule '!I31</f>
        <v>3705.6812022826603</v>
      </c>
      <c r="J45" s="71">
        <f>'Lease Schedule '!J31</f>
        <v>4661.1398070131145</v>
      </c>
    </row>
    <row r="46" spans="1:10" x14ac:dyDescent="0.3">
      <c r="A46" s="1" t="s">
        <v>46</v>
      </c>
      <c r="B46" s="1" t="s">
        <v>298</v>
      </c>
      <c r="C46" s="70">
        <v>8354.08</v>
      </c>
      <c r="D46" s="70">
        <v>9658.34</v>
      </c>
      <c r="E46" s="70">
        <v>9596.77</v>
      </c>
      <c r="F46" s="70">
        <v>8875.75</v>
      </c>
      <c r="G46" s="71">
        <f>'WC Schedule'!G18</f>
        <v>17984.633057373852</v>
      </c>
      <c r="H46" s="71">
        <f>'WC Schedule'!H18</f>
        <v>25887.221832001076</v>
      </c>
      <c r="I46" s="71">
        <f>'WC Schedule'!I18</f>
        <v>32773.041157857937</v>
      </c>
      <c r="J46" s="71">
        <f>'WC Schedule'!J18</f>
        <v>45324.162652799896</v>
      </c>
    </row>
    <row r="47" spans="1:10" x14ac:dyDescent="0.3">
      <c r="A47" s="1" t="s">
        <v>43</v>
      </c>
      <c r="B47" s="1" t="s">
        <v>200</v>
      </c>
      <c r="C47" s="70">
        <v>952.64</v>
      </c>
      <c r="D47" s="70">
        <v>1058</v>
      </c>
      <c r="E47" s="70">
        <v>2359.1</v>
      </c>
      <c r="F47" s="70">
        <v>2285.67</v>
      </c>
      <c r="G47" s="71">
        <v>2285.67</v>
      </c>
      <c r="H47" s="71">
        <v>2285.67</v>
      </c>
      <c r="I47" s="71">
        <v>2285.67</v>
      </c>
      <c r="J47" s="71">
        <v>2285.67</v>
      </c>
    </row>
    <row r="48" spans="1:10" x14ac:dyDescent="0.3">
      <c r="A48" s="1" t="s">
        <v>47</v>
      </c>
      <c r="B48" s="1" t="s">
        <v>200</v>
      </c>
      <c r="C48" s="70">
        <v>1276.8800000000001</v>
      </c>
      <c r="D48" s="70">
        <v>1380.25</v>
      </c>
      <c r="E48" s="70">
        <v>1423.9</v>
      </c>
      <c r="F48" s="70">
        <v>1931.44</v>
      </c>
      <c r="G48" s="71">
        <v>1931.44</v>
      </c>
      <c r="H48" s="71">
        <v>1931.44</v>
      </c>
      <c r="I48" s="71">
        <v>1931.44</v>
      </c>
      <c r="J48" s="71">
        <v>1931.44</v>
      </c>
    </row>
    <row r="49" spans="1:10" x14ac:dyDescent="0.3">
      <c r="A49" t="s">
        <v>53</v>
      </c>
      <c r="B49" s="1" t="s">
        <v>200</v>
      </c>
      <c r="C49" s="70">
        <v>324.89999999999998</v>
      </c>
      <c r="D49" s="70">
        <v>390.56</v>
      </c>
      <c r="E49" s="70">
        <v>462.67</v>
      </c>
      <c r="F49" s="70">
        <v>477.27</v>
      </c>
      <c r="G49" s="71">
        <v>477.27</v>
      </c>
      <c r="H49" s="71">
        <v>477.27</v>
      </c>
      <c r="I49" s="71">
        <v>477.27</v>
      </c>
      <c r="J49" s="71">
        <v>477.27</v>
      </c>
    </row>
    <row r="50" spans="1:10" x14ac:dyDescent="0.3">
      <c r="A50" s="1" t="s">
        <v>48</v>
      </c>
      <c r="B50" s="1" t="s">
        <v>200</v>
      </c>
      <c r="C50" s="70">
        <v>20.25</v>
      </c>
      <c r="D50" s="70">
        <v>20.77</v>
      </c>
      <c r="E50" s="70">
        <v>39.18</v>
      </c>
      <c r="F50" s="70">
        <v>14.28</v>
      </c>
      <c r="G50" s="71">
        <v>14.28</v>
      </c>
      <c r="H50" s="71">
        <v>14.28</v>
      </c>
      <c r="I50" s="71">
        <v>14.28</v>
      </c>
      <c r="J50" s="71">
        <v>14.28</v>
      </c>
    </row>
    <row r="51" spans="1:10" s="2" customFormat="1" x14ac:dyDescent="0.3">
      <c r="A51" s="28" t="s">
        <v>49</v>
      </c>
      <c r="B51" s="28"/>
      <c r="C51" s="73">
        <f t="shared" ref="C51:J51" si="5">SUM(C44:C50)</f>
        <v>16344.960000000001</v>
      </c>
      <c r="D51" s="73">
        <f t="shared" si="5"/>
        <v>14951.92</v>
      </c>
      <c r="E51" s="73">
        <f t="shared" si="5"/>
        <v>17076.7</v>
      </c>
      <c r="F51" s="73">
        <f t="shared" si="5"/>
        <v>17947.349999999999</v>
      </c>
      <c r="G51" s="74">
        <f t="shared" si="5"/>
        <v>26914.740320464538</v>
      </c>
      <c r="H51" s="74">
        <f t="shared" si="5"/>
        <v>34623.655128419276</v>
      </c>
      <c r="I51" s="74">
        <f t="shared" si="5"/>
        <v>41370.842360140596</v>
      </c>
      <c r="J51" s="74">
        <f t="shared" si="5"/>
        <v>54877.422459813009</v>
      </c>
    </row>
    <row r="52" spans="1:10" s="2" customFormat="1" x14ac:dyDescent="0.3">
      <c r="A52" s="3" t="s">
        <v>50</v>
      </c>
      <c r="B52" s="3"/>
      <c r="C52" s="68">
        <f t="shared" ref="C52:J52" si="6">C42+C51</f>
        <v>27267.200000000001</v>
      </c>
      <c r="D52" s="68">
        <f t="shared" si="6"/>
        <v>24819.989999999998</v>
      </c>
      <c r="E52" s="68">
        <f t="shared" si="6"/>
        <v>28667.42</v>
      </c>
      <c r="F52" s="68">
        <f t="shared" si="6"/>
        <v>42744.81</v>
      </c>
      <c r="G52" s="69">
        <f t="shared" si="6"/>
        <v>50097.518144645088</v>
      </c>
      <c r="H52" s="69">
        <f t="shared" si="6"/>
        <v>56708.947141455763</v>
      </c>
      <c r="I52" s="69">
        <f t="shared" si="6"/>
        <v>62670.552506409003</v>
      </c>
      <c r="J52" s="69">
        <f t="shared" si="6"/>
        <v>81591.398032887329</v>
      </c>
    </row>
    <row r="53" spans="1:10" s="2" customFormat="1" x14ac:dyDescent="0.3">
      <c r="A53" s="28" t="s">
        <v>392</v>
      </c>
      <c r="B53" s="28"/>
      <c r="C53" s="73">
        <f t="shared" ref="C53:J53" si="7">C35+C52</f>
        <v>50435.69</v>
      </c>
      <c r="D53" s="73">
        <f t="shared" si="7"/>
        <v>87969.63</v>
      </c>
      <c r="E53" s="73">
        <f t="shared" si="7"/>
        <v>117064.10999999999</v>
      </c>
      <c r="F53" s="73">
        <f t="shared" si="7"/>
        <v>140964.5</v>
      </c>
      <c r="G53" s="74">
        <f t="shared" si="7"/>
        <v>164380.44063534241</v>
      </c>
      <c r="H53" s="74">
        <f t="shared" si="7"/>
        <v>191042.87580950948</v>
      </c>
      <c r="I53" s="74">
        <f t="shared" si="7"/>
        <v>230136.87494328126</v>
      </c>
      <c r="J53" s="74">
        <f t="shared" si="7"/>
        <v>292725.50639369775</v>
      </c>
    </row>
    <row r="54" spans="1:10" x14ac:dyDescent="0.3">
      <c r="G54" s="71" t="b">
        <f>G53=G29</f>
        <v>1</v>
      </c>
      <c r="H54" s="71" t="b">
        <f>H53=H29</f>
        <v>1</v>
      </c>
      <c r="I54" s="71" t="b">
        <f>I53=I29</f>
        <v>1</v>
      </c>
      <c r="J54" s="71" t="b">
        <f>J53=J29</f>
        <v>1</v>
      </c>
    </row>
    <row r="55" spans="1:10" x14ac:dyDescent="0.3">
      <c r="G55" s="71">
        <f>G53-G29</f>
        <v>0</v>
      </c>
      <c r="H55" s="71">
        <f>H53-H29</f>
        <v>0</v>
      </c>
      <c r="I55" s="71">
        <f>I53-I29</f>
        <v>0</v>
      </c>
      <c r="J55" s="71">
        <f>J53-J29</f>
        <v>0</v>
      </c>
    </row>
    <row r="58" spans="1:10" x14ac:dyDescent="0.3">
      <c r="A58" s="1" t="s">
        <v>11</v>
      </c>
    </row>
    <row r="60" spans="1:10" x14ac:dyDescent="0.3">
      <c r="A60" s="1" t="s">
        <v>11</v>
      </c>
    </row>
  </sheetData>
  <sheetProtection algorithmName="SHA-512" hashValue="J83FiOObMdIGIUXimQumFUvKeDEcI84h+fLc+QF241VOS63P6M1GZumrbh7+QBTrFjehhJbZw4xtXwS8bg6tRQ==" saltValue="+TfzaTgsT5RZ58ykOLMeKw==" spinCount="100000" sheet="1" objects="1" scenarios="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CF26-3902-4C6C-BE14-DD65870CD0FC}">
  <dimension ref="A1:M21"/>
  <sheetViews>
    <sheetView showGridLines="0" zoomScaleNormal="100" workbookViewId="0">
      <pane xSplit="2" ySplit="3" topLeftCell="C4" activePane="bottomRight" state="frozen"/>
      <selection pane="topRight" activeCell="C1" sqref="C1"/>
      <selection pane="bottomLeft" activeCell="A4" sqref="A4"/>
      <selection pane="bottomRight" activeCell="I23" sqref="I23"/>
    </sheetView>
  </sheetViews>
  <sheetFormatPr defaultRowHeight="14.4" x14ac:dyDescent="0.3"/>
  <cols>
    <col min="1" max="1" width="30.109375" style="1" customWidth="1"/>
    <col min="2" max="2" width="9.77734375" style="1" bestFit="1" customWidth="1"/>
    <col min="3" max="3" width="10.77734375" style="4" bestFit="1" customWidth="1"/>
    <col min="4" max="4" width="9.109375" style="4" bestFit="1" customWidth="1"/>
    <col min="5" max="6" width="10.77734375" style="4" bestFit="1" customWidth="1"/>
    <col min="7" max="10" width="10.77734375" style="26" bestFit="1" customWidth="1"/>
  </cols>
  <sheetData>
    <row r="1" spans="1:13" s="2" customFormat="1" ht="18" customHeight="1" x14ac:dyDescent="0.3">
      <c r="A1" s="2" t="s">
        <v>54</v>
      </c>
      <c r="C1" s="35"/>
      <c r="D1" s="35"/>
      <c r="E1" s="35"/>
      <c r="F1" s="35"/>
      <c r="G1" s="36"/>
      <c r="H1" s="36"/>
      <c r="I1" s="36"/>
      <c r="J1" s="36"/>
    </row>
    <row r="2" spans="1:13" s="2" customFormat="1" x14ac:dyDescent="0.3">
      <c r="A2" s="2" t="s">
        <v>0</v>
      </c>
      <c r="C2" s="35"/>
      <c r="D2" s="35"/>
      <c r="E2" s="35"/>
      <c r="F2" s="35"/>
      <c r="G2" s="36"/>
      <c r="H2" s="36"/>
      <c r="I2" s="36"/>
      <c r="J2" s="36"/>
    </row>
    <row r="3" spans="1:13" s="2" customFormat="1" x14ac:dyDescent="0.3">
      <c r="A3" s="2" t="s">
        <v>9</v>
      </c>
      <c r="B3" s="2" t="s">
        <v>1</v>
      </c>
      <c r="C3" s="35" t="s">
        <v>2</v>
      </c>
      <c r="D3" s="35" t="s">
        <v>3</v>
      </c>
      <c r="E3" s="35" t="s">
        <v>51</v>
      </c>
      <c r="F3" s="35" t="s">
        <v>4</v>
      </c>
      <c r="G3" s="36" t="s">
        <v>5</v>
      </c>
      <c r="H3" s="36" t="s">
        <v>6</v>
      </c>
      <c r="I3" s="36" t="s">
        <v>7</v>
      </c>
      <c r="J3" s="36" t="s">
        <v>364</v>
      </c>
    </row>
    <row r="4" spans="1:13" x14ac:dyDescent="0.3">
      <c r="A4" s="1" t="s">
        <v>55</v>
      </c>
      <c r="C4" s="4">
        <v>57728.37</v>
      </c>
      <c r="D4" s="4">
        <v>78853.37</v>
      </c>
      <c r="E4" s="4">
        <v>99899.21</v>
      </c>
      <c r="F4" s="4">
        <v>125162.71</v>
      </c>
      <c r="G4" s="26">
        <f>'Revenue Model'!G4</f>
        <v>185499.77012916206</v>
      </c>
      <c r="H4" s="26">
        <f>'Revenue Model'!H4</f>
        <v>238779.17324723123</v>
      </c>
      <c r="I4" s="26">
        <f>'Revenue Model'!I4</f>
        <v>292842.84358833247</v>
      </c>
      <c r="J4" s="26">
        <f>'Revenue Model'!J4</f>
        <v>365888.92360219132</v>
      </c>
    </row>
    <row r="5" spans="1:13" x14ac:dyDescent="0.3">
      <c r="A5" s="1" t="s">
        <v>179</v>
      </c>
      <c r="B5" s="1" t="s">
        <v>180</v>
      </c>
      <c r="C5" s="4">
        <v>41112.44</v>
      </c>
      <c r="D5" s="4">
        <v>54438.49</v>
      </c>
      <c r="E5" s="4">
        <v>69836.05</v>
      </c>
      <c r="F5" s="4">
        <v>87667.73</v>
      </c>
      <c r="G5" s="26">
        <f>'Cost Model'!G8</f>
        <v>127994.84138912181</v>
      </c>
      <c r="H5" s="26">
        <f>'Cost Model'!H8</f>
        <v>171921.00473800648</v>
      </c>
      <c r="I5" s="26">
        <f>'Cost Model'!I8</f>
        <v>204989.99051183273</v>
      </c>
      <c r="J5" s="26">
        <f>'Cost Model'!J8</f>
        <v>256122.2465215339</v>
      </c>
    </row>
    <row r="6" spans="1:13" s="2" customFormat="1" x14ac:dyDescent="0.3">
      <c r="A6" s="28" t="s">
        <v>181</v>
      </c>
      <c r="B6" s="28"/>
      <c r="C6" s="31">
        <f>C4-C5</f>
        <v>16615.93</v>
      </c>
      <c r="D6" s="31">
        <f t="shared" ref="D6:J6" si="0">D4-D5</f>
        <v>24414.879999999997</v>
      </c>
      <c r="E6" s="31">
        <f t="shared" si="0"/>
        <v>30063.160000000003</v>
      </c>
      <c r="F6" s="31">
        <f t="shared" si="0"/>
        <v>37494.98000000001</v>
      </c>
      <c r="G6" s="31">
        <f t="shared" si="0"/>
        <v>57504.928740040254</v>
      </c>
      <c r="H6" s="31">
        <f t="shared" si="0"/>
        <v>66858.16850922475</v>
      </c>
      <c r="I6" s="31">
        <f t="shared" si="0"/>
        <v>87852.853076499741</v>
      </c>
      <c r="J6" s="31">
        <f t="shared" si="0"/>
        <v>109766.67708065742</v>
      </c>
    </row>
    <row r="7" spans="1:13" x14ac:dyDescent="0.3">
      <c r="A7" s="1" t="s">
        <v>57</v>
      </c>
      <c r="C7" s="4">
        <v>4238.1499999999996</v>
      </c>
      <c r="D7" s="4">
        <v>5268.17</v>
      </c>
      <c r="E7" s="4">
        <v>7036.38</v>
      </c>
      <c r="F7" s="4">
        <v>8533.57</v>
      </c>
      <c r="G7" s="26">
        <f>'Cost Model'!G24</f>
        <v>8523.9653350000008</v>
      </c>
      <c r="H7" s="26">
        <f>'Cost Model'!H24</f>
        <v>10051.32395301858</v>
      </c>
      <c r="I7" s="26">
        <f>'Cost Model'!I24</f>
        <v>11816.192873606997</v>
      </c>
      <c r="J7" s="26">
        <f>'Cost Model'!J24</f>
        <v>13852.648139203475</v>
      </c>
    </row>
    <row r="8" spans="1:13" s="2" customFormat="1" x14ac:dyDescent="0.3">
      <c r="A8" t="s">
        <v>182</v>
      </c>
      <c r="B8" s="3"/>
      <c r="C8" s="7">
        <v>2225.3000000000002</v>
      </c>
      <c r="D8" s="7">
        <v>2683.39</v>
      </c>
      <c r="E8" s="7">
        <v>2100.17</v>
      </c>
      <c r="F8" s="7">
        <v>2433.4899999999998</v>
      </c>
      <c r="G8" s="26">
        <f>'Cost Model'!G28</f>
        <v>7419.9908051664825</v>
      </c>
      <c r="H8" s="26">
        <f>'Cost Model'!H28</f>
        <v>7163.3751974169363</v>
      </c>
      <c r="I8" s="26">
        <f>'Cost Model'!I28</f>
        <v>5856.8568717666494</v>
      </c>
      <c r="J8" s="26">
        <f>'Cost Model'!J28</f>
        <v>7317.7784720438267</v>
      </c>
    </row>
    <row r="9" spans="1:13" x14ac:dyDescent="0.3">
      <c r="A9" s="1" t="s">
        <v>183</v>
      </c>
      <c r="C9" s="7">
        <v>3461.9799999999996</v>
      </c>
      <c r="D9" s="7">
        <v>5022.24</v>
      </c>
      <c r="E9" s="7">
        <v>5755.13</v>
      </c>
      <c r="F9" s="7">
        <v>7520.92</v>
      </c>
      <c r="G9" s="26">
        <f>'Cost Model'!G32</f>
        <v>11129.986207749724</v>
      </c>
      <c r="H9" s="26">
        <f>'Cost Model'!H32</f>
        <v>14326.750394833873</v>
      </c>
      <c r="I9" s="26">
        <f>'Cost Model'!I32</f>
        <v>17570.570615299948</v>
      </c>
      <c r="J9" s="26">
        <f>'Cost Model'!J32</f>
        <v>21953.335416131478</v>
      </c>
    </row>
    <row r="10" spans="1:13" s="2" customFormat="1" x14ac:dyDescent="0.3">
      <c r="A10" s="28" t="s">
        <v>184</v>
      </c>
      <c r="B10" s="28"/>
      <c r="C10" s="31">
        <f>C6-SUM(C7:C9)</f>
        <v>6690.5</v>
      </c>
      <c r="D10" s="31">
        <f t="shared" ref="D10:J10" si="1">D6-SUM(D7:D9)</f>
        <v>11441.079999999998</v>
      </c>
      <c r="E10" s="31">
        <f t="shared" si="1"/>
        <v>15171.480000000003</v>
      </c>
      <c r="F10" s="31">
        <f t="shared" si="1"/>
        <v>19007.000000000011</v>
      </c>
      <c r="G10" s="31">
        <f t="shared" si="1"/>
        <v>30430.986392124047</v>
      </c>
      <c r="H10" s="31">
        <f t="shared" si="1"/>
        <v>35316.718963955362</v>
      </c>
      <c r="I10" s="31">
        <f t="shared" si="1"/>
        <v>52609.232715826147</v>
      </c>
      <c r="J10" s="31">
        <f t="shared" si="1"/>
        <v>66642.915053278644</v>
      </c>
    </row>
    <row r="11" spans="1:13" x14ac:dyDescent="0.3">
      <c r="A11" s="1" t="s">
        <v>59</v>
      </c>
      <c r="C11" s="4">
        <v>3150.86</v>
      </c>
      <c r="D11" s="4">
        <v>3463.09</v>
      </c>
      <c r="E11" s="4">
        <v>4867.46</v>
      </c>
      <c r="F11" s="4">
        <v>6300.31</v>
      </c>
      <c r="G11" s="26">
        <f>'Capex Schedule'!G109+'Lease Schedule '!G9</f>
        <v>8320.7452857142853</v>
      </c>
      <c r="H11" s="26">
        <f>'Capex Schedule'!H109+'Lease Schedule '!H9</f>
        <v>8029.9153321238564</v>
      </c>
      <c r="I11" s="26">
        <f>'Capex Schedule'!I109+'Lease Schedule '!I9</f>
        <v>7883.2205674975139</v>
      </c>
      <c r="J11" s="26">
        <f>'Capex Schedule'!J109+'Lease Schedule '!J9</f>
        <v>7859.9866298356537</v>
      </c>
    </row>
    <row r="12" spans="1:13" s="2" customFormat="1" x14ac:dyDescent="0.3">
      <c r="A12" s="28" t="s">
        <v>185</v>
      </c>
      <c r="B12" s="28"/>
      <c r="C12" s="31">
        <f>C10-C11</f>
        <v>3539.64</v>
      </c>
      <c r="D12" s="31">
        <f t="shared" ref="D12:J12" si="2">D10-D11</f>
        <v>7977.989999999998</v>
      </c>
      <c r="E12" s="31">
        <f t="shared" si="2"/>
        <v>10304.020000000004</v>
      </c>
      <c r="F12" s="31">
        <f t="shared" si="2"/>
        <v>12706.69000000001</v>
      </c>
      <c r="G12" s="31">
        <f t="shared" si="2"/>
        <v>22110.241106409761</v>
      </c>
      <c r="H12" s="31">
        <f t="shared" si="2"/>
        <v>27286.803631831506</v>
      </c>
      <c r="I12" s="31">
        <f t="shared" si="2"/>
        <v>44726.012148328635</v>
      </c>
      <c r="J12" s="31">
        <f t="shared" si="2"/>
        <v>58782.928423442994</v>
      </c>
    </row>
    <row r="13" spans="1:13" x14ac:dyDescent="0.3">
      <c r="A13" s="1" t="s">
        <v>58</v>
      </c>
      <c r="C13" s="4">
        <v>1667.28</v>
      </c>
      <c r="D13" s="4">
        <v>1416.06</v>
      </c>
      <c r="E13" s="4">
        <v>1601.8</v>
      </c>
      <c r="F13" s="4">
        <v>1943.84</v>
      </c>
      <c r="G13" s="26">
        <f>'Debt Schedule '!G11</f>
        <v>2963.3104499999999</v>
      </c>
      <c r="H13" s="26">
        <f>'Debt Schedule '!H11</f>
        <v>2783.3025214453023</v>
      </c>
      <c r="I13" s="26">
        <f>'Debt Schedule '!I11</f>
        <v>2650.9586442191057</v>
      </c>
      <c r="J13" s="26">
        <f>'Debt Schedule '!J11</f>
        <v>2556.2267132264847</v>
      </c>
      <c r="M13" t="s">
        <v>110</v>
      </c>
    </row>
    <row r="14" spans="1:13" x14ac:dyDescent="0.3">
      <c r="A14" s="1" t="s">
        <v>56</v>
      </c>
      <c r="C14" s="4">
        <v>1277.83</v>
      </c>
      <c r="D14" s="4">
        <v>1456.04</v>
      </c>
      <c r="E14" s="4">
        <v>2361.6799999999998</v>
      </c>
      <c r="F14" s="4">
        <v>2429.98</v>
      </c>
      <c r="G14" s="4">
        <v>2429.98</v>
      </c>
      <c r="H14" s="4">
        <v>2429.98</v>
      </c>
      <c r="I14" s="4">
        <v>2429.98</v>
      </c>
      <c r="J14" s="4">
        <v>2429.98</v>
      </c>
    </row>
    <row r="15" spans="1:13" s="2" customFormat="1" x14ac:dyDescent="0.3">
      <c r="A15" s="28" t="s">
        <v>186</v>
      </c>
      <c r="B15" s="28"/>
      <c r="C15" s="31">
        <f>C12-C13+C14</f>
        <v>3150.1899999999996</v>
      </c>
      <c r="D15" s="31">
        <f t="shared" ref="D15:J15" si="3">D12-D13+D14</f>
        <v>8017.9699999999984</v>
      </c>
      <c r="E15" s="31">
        <f t="shared" si="3"/>
        <v>11063.900000000005</v>
      </c>
      <c r="F15" s="31">
        <f t="shared" si="3"/>
        <v>13192.830000000009</v>
      </c>
      <c r="G15" s="31">
        <f t="shared" si="3"/>
        <v>21576.91065640976</v>
      </c>
      <c r="H15" s="31">
        <f t="shared" si="3"/>
        <v>26933.481110386205</v>
      </c>
      <c r="I15" s="31">
        <f t="shared" si="3"/>
        <v>44505.033504109531</v>
      </c>
      <c r="J15" s="31">
        <f t="shared" si="3"/>
        <v>58656.681710216515</v>
      </c>
    </row>
    <row r="16" spans="1:13" x14ac:dyDescent="0.3">
      <c r="A16" s="1" t="s">
        <v>60</v>
      </c>
      <c r="C16" s="4">
        <v>2.4</v>
      </c>
      <c r="D16" s="4">
        <v>49.68</v>
      </c>
      <c r="E16" s="4">
        <v>67.31</v>
      </c>
      <c r="F16" s="4">
        <v>-185.97</v>
      </c>
      <c r="G16" s="26">
        <v>0</v>
      </c>
      <c r="H16" s="26">
        <v>0</v>
      </c>
      <c r="I16" s="26">
        <v>0</v>
      </c>
      <c r="J16" s="26">
        <v>0</v>
      </c>
    </row>
    <row r="17" spans="1:10" s="2" customFormat="1" x14ac:dyDescent="0.3">
      <c r="A17" s="28" t="s">
        <v>187</v>
      </c>
      <c r="B17" s="28"/>
      <c r="C17" s="31">
        <f>C15+C16</f>
        <v>3152.5899999999997</v>
      </c>
      <c r="D17" s="31">
        <f t="shared" ref="D17:J17" si="4">D15+D16</f>
        <v>8067.6499999999987</v>
      </c>
      <c r="E17" s="31">
        <f t="shared" si="4"/>
        <v>11131.210000000005</v>
      </c>
      <c r="F17" s="31">
        <f t="shared" si="4"/>
        <v>13006.86000000001</v>
      </c>
      <c r="G17" s="31">
        <f t="shared" si="4"/>
        <v>21576.91065640976</v>
      </c>
      <c r="H17" s="31">
        <f t="shared" si="4"/>
        <v>26933.481110386205</v>
      </c>
      <c r="I17" s="31">
        <f t="shared" si="4"/>
        <v>44505.033504109531</v>
      </c>
      <c r="J17" s="31">
        <f t="shared" si="4"/>
        <v>58656.681710216515</v>
      </c>
    </row>
    <row r="18" spans="1:10" x14ac:dyDescent="0.3">
      <c r="A18" s="1" t="s">
        <v>188</v>
      </c>
      <c r="C18" s="4">
        <v>813.79000000000008</v>
      </c>
      <c r="D18" s="4">
        <v>2037.83</v>
      </c>
      <c r="E18" s="4">
        <v>2801.76</v>
      </c>
      <c r="F18" s="4">
        <v>3378.07</v>
      </c>
      <c r="G18" s="26">
        <f>'Cost Model'!G36</f>
        <v>5513.6781657124284</v>
      </c>
      <c r="H18" s="26">
        <f>'Cost Model'!H36</f>
        <v>6882.4749330298373</v>
      </c>
      <c r="I18" s="26">
        <f>'Cost Model'!I36</f>
        <v>11372.63973529097</v>
      </c>
      <c r="J18" s="26">
        <f>'Cost Model'!J36</f>
        <v>14988.895786278334</v>
      </c>
    </row>
    <row r="19" spans="1:10" s="2" customFormat="1" x14ac:dyDescent="0.3">
      <c r="A19" s="28" t="s">
        <v>189</v>
      </c>
      <c r="B19" s="28"/>
      <c r="C19" s="31">
        <f>C17-C18</f>
        <v>2338.7999999999997</v>
      </c>
      <c r="D19" s="31">
        <f t="shared" ref="D19:J19" si="5">D17-D18</f>
        <v>6029.8199999999988</v>
      </c>
      <c r="E19" s="31">
        <f t="shared" si="5"/>
        <v>8329.4500000000044</v>
      </c>
      <c r="F19" s="31">
        <f t="shared" si="5"/>
        <v>9628.79000000001</v>
      </c>
      <c r="G19" s="31">
        <f t="shared" si="5"/>
        <v>16063.232490697332</v>
      </c>
      <c r="H19" s="31">
        <f t="shared" si="5"/>
        <v>20051.006177356368</v>
      </c>
      <c r="I19" s="31">
        <f t="shared" si="5"/>
        <v>33132.393768818562</v>
      </c>
      <c r="J19" s="31">
        <f t="shared" si="5"/>
        <v>43667.78592393818</v>
      </c>
    </row>
    <row r="20" spans="1:10" x14ac:dyDescent="0.3">
      <c r="A20" s="1" t="s">
        <v>283</v>
      </c>
      <c r="C20" s="4">
        <v>0</v>
      </c>
      <c r="D20" s="4">
        <v>0</v>
      </c>
      <c r="E20" s="4">
        <v>0</v>
      </c>
      <c r="F20" s="4">
        <v>0</v>
      </c>
      <c r="G20" s="26">
        <f>'Cost Model'!G39</f>
        <v>0</v>
      </c>
      <c r="H20" s="26">
        <f>'Cost Model'!H39</f>
        <v>0</v>
      </c>
      <c r="I20" s="26">
        <f>'Cost Model'!I39</f>
        <v>0</v>
      </c>
      <c r="J20" s="26">
        <f>'Cost Model'!J39</f>
        <v>0</v>
      </c>
    </row>
    <row r="21" spans="1:10" s="2" customFormat="1" x14ac:dyDescent="0.3">
      <c r="A21" s="28" t="s">
        <v>285</v>
      </c>
      <c r="B21" s="28"/>
      <c r="C21" s="31">
        <f>C19-C20</f>
        <v>2338.7999999999997</v>
      </c>
      <c r="D21" s="31">
        <f t="shared" ref="D21:J21" si="6">D19-D20</f>
        <v>6029.8199999999988</v>
      </c>
      <c r="E21" s="31">
        <f t="shared" si="6"/>
        <v>8329.4500000000044</v>
      </c>
      <c r="F21" s="31">
        <f t="shared" si="6"/>
        <v>9628.79000000001</v>
      </c>
      <c r="G21" s="31">
        <f t="shared" si="6"/>
        <v>16063.232490697332</v>
      </c>
      <c r="H21" s="31">
        <f t="shared" si="6"/>
        <v>20051.006177356368</v>
      </c>
      <c r="I21" s="31">
        <f t="shared" si="6"/>
        <v>33132.393768818562</v>
      </c>
      <c r="J21" s="31">
        <f t="shared" si="6"/>
        <v>43667.78592393818</v>
      </c>
    </row>
  </sheetData>
  <sheetProtection algorithmName="SHA-512" hashValue="XX7aILqqzbo93mJheUjos7ZfuC5999UydJXWmVq6yQ0IrRDZVZimE1gL1nk6i1KApaNF/6xot3nXsz048Mncpw==" saltValue="grmQabzaEwyp17E0/+0Yp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24B0-14BD-4D3A-A0F7-459E615CE604}">
  <dimension ref="A1:J62"/>
  <sheetViews>
    <sheetView showGridLines="0" zoomScaleNormal="100" workbookViewId="0">
      <pane xSplit="2" ySplit="3" topLeftCell="C4" activePane="bottomRight" state="frozen"/>
      <selection pane="topRight" activeCell="C1" sqref="C1"/>
      <selection pane="bottomLeft" activeCell="A4" sqref="A4"/>
      <selection pane="bottomRight" activeCell="B44" sqref="B44"/>
    </sheetView>
  </sheetViews>
  <sheetFormatPr defaultRowHeight="14.4" x14ac:dyDescent="0.3"/>
  <cols>
    <col min="1" max="1" width="61.77734375" style="34" customWidth="1"/>
    <col min="2" max="2" width="9.77734375" style="1" bestFit="1" customWidth="1"/>
    <col min="3" max="3" width="10.6640625" style="4" bestFit="1" customWidth="1"/>
    <col min="4" max="6" width="9.77734375" style="4" bestFit="1" customWidth="1"/>
    <col min="7" max="7" width="9.77734375" style="26" bestFit="1" customWidth="1"/>
    <col min="8" max="8" width="12" style="26" bestFit="1" customWidth="1"/>
    <col min="9" max="10" width="10.109375" style="26" bestFit="1" customWidth="1"/>
  </cols>
  <sheetData>
    <row r="1" spans="1:10" s="2" customFormat="1" ht="18" customHeight="1" x14ac:dyDescent="0.3">
      <c r="A1" s="33" t="s">
        <v>61</v>
      </c>
      <c r="C1" s="35"/>
      <c r="D1" s="35"/>
      <c r="E1" s="35"/>
      <c r="F1" s="35"/>
      <c r="G1" s="36"/>
      <c r="H1" s="36"/>
      <c r="I1" s="36"/>
      <c r="J1" s="36"/>
    </row>
    <row r="2" spans="1:10" s="2" customFormat="1" x14ac:dyDescent="0.3">
      <c r="A2" s="33" t="s">
        <v>0</v>
      </c>
      <c r="C2" s="35"/>
      <c r="D2" s="35"/>
      <c r="E2" s="35"/>
      <c r="F2" s="35"/>
      <c r="G2" s="36"/>
      <c r="H2" s="36"/>
      <c r="I2" s="36"/>
      <c r="J2" s="36"/>
    </row>
    <row r="3" spans="1:10" s="2" customFormat="1" x14ac:dyDescent="0.3">
      <c r="A3" s="33" t="s">
        <v>9</v>
      </c>
      <c r="B3" s="2" t="s">
        <v>1</v>
      </c>
      <c r="C3" s="35" t="s">
        <v>2</v>
      </c>
      <c r="D3" s="35" t="s">
        <v>3</v>
      </c>
      <c r="E3" s="35" t="s">
        <v>51</v>
      </c>
      <c r="F3" s="35" t="s">
        <v>4</v>
      </c>
      <c r="G3" s="36" t="s">
        <v>5</v>
      </c>
      <c r="H3" s="36" t="s">
        <v>6</v>
      </c>
      <c r="I3" s="36" t="s">
        <v>7</v>
      </c>
      <c r="J3" s="89" t="s">
        <v>364</v>
      </c>
    </row>
    <row r="4" spans="1:10" x14ac:dyDescent="0.3">
      <c r="A4" s="34" t="s">
        <v>62</v>
      </c>
      <c r="C4" s="7"/>
      <c r="D4" s="7"/>
      <c r="E4" s="7"/>
      <c r="F4" s="7"/>
    </row>
    <row r="5" spans="1:10" x14ac:dyDescent="0.3">
      <c r="A5" s="34" t="s">
        <v>63</v>
      </c>
      <c r="C5" s="4">
        <v>3152.59</v>
      </c>
      <c r="D5" s="4">
        <v>8067.65</v>
      </c>
      <c r="E5" s="4">
        <v>11131.21</v>
      </c>
      <c r="F5" s="4">
        <v>13006.86</v>
      </c>
      <c r="G5" s="26">
        <f>IS!G17</f>
        <v>21576.91065640976</v>
      </c>
      <c r="H5" s="26">
        <f>IS!H17</f>
        <v>26933.481110386205</v>
      </c>
      <c r="I5" s="26">
        <f>IS!I17</f>
        <v>44505.033504109531</v>
      </c>
      <c r="J5" s="26">
        <f>IS!J17</f>
        <v>58656.681710216515</v>
      </c>
    </row>
    <row r="6" spans="1:10" x14ac:dyDescent="0.3">
      <c r="A6" s="34" t="s">
        <v>64</v>
      </c>
    </row>
    <row r="7" spans="1:10" x14ac:dyDescent="0.3">
      <c r="A7" s="34" t="s">
        <v>59</v>
      </c>
      <c r="C7" s="4">
        <v>3150.86</v>
      </c>
      <c r="D7" s="4">
        <v>3463.09</v>
      </c>
      <c r="E7" s="4">
        <v>4867.46</v>
      </c>
      <c r="F7" s="4">
        <v>6300.31</v>
      </c>
      <c r="G7" s="26">
        <f>IS!G11</f>
        <v>8320.7452857142853</v>
      </c>
      <c r="H7" s="26">
        <f>IS!H11</f>
        <v>8029.9153321238564</v>
      </c>
      <c r="I7" s="26">
        <f>IS!I11</f>
        <v>7883.2205674975139</v>
      </c>
      <c r="J7" s="26">
        <f>IS!J11</f>
        <v>7859.9866298356537</v>
      </c>
    </row>
    <row r="8" spans="1:10" x14ac:dyDescent="0.3">
      <c r="A8" s="34" t="s">
        <v>111</v>
      </c>
      <c r="C8" s="4">
        <v>23.72</v>
      </c>
      <c r="D8" s="4">
        <v>0</v>
      </c>
      <c r="E8" s="4">
        <v>8.8699999999999992</v>
      </c>
      <c r="F8" s="4">
        <v>21.26</v>
      </c>
      <c r="G8" s="26">
        <v>0</v>
      </c>
      <c r="H8" s="26">
        <v>0</v>
      </c>
      <c r="I8" s="26">
        <v>0</v>
      </c>
      <c r="J8" s="26">
        <v>0</v>
      </c>
    </row>
    <row r="9" spans="1:10" x14ac:dyDescent="0.3">
      <c r="A9" s="34" t="s">
        <v>65</v>
      </c>
      <c r="C9" s="4">
        <v>0</v>
      </c>
      <c r="D9" s="4">
        <v>-12.81</v>
      </c>
      <c r="E9" s="4">
        <v>-55.76</v>
      </c>
      <c r="F9" s="4">
        <v>54.18</v>
      </c>
      <c r="G9" s="26">
        <v>0</v>
      </c>
      <c r="H9" s="26">
        <v>0</v>
      </c>
      <c r="I9" s="26">
        <v>0</v>
      </c>
      <c r="J9" s="26">
        <v>0</v>
      </c>
    </row>
    <row r="10" spans="1:10" x14ac:dyDescent="0.3">
      <c r="A10" s="34" t="s">
        <v>66</v>
      </c>
      <c r="C10" s="4">
        <v>1611.28</v>
      </c>
      <c r="D10" s="4">
        <v>1404.56</v>
      </c>
      <c r="E10" s="4">
        <v>1599.14</v>
      </c>
      <c r="F10" s="4">
        <v>1926.88</v>
      </c>
      <c r="G10" s="26">
        <f>IS!G13</f>
        <v>2963.3104499999999</v>
      </c>
      <c r="H10" s="26">
        <f>IS!H13</f>
        <v>2783.3025214453023</v>
      </c>
      <c r="I10" s="26">
        <f>IS!I13</f>
        <v>2650.9586442191057</v>
      </c>
      <c r="J10" s="26">
        <f>IS!J13</f>
        <v>2556.2267132264847</v>
      </c>
    </row>
    <row r="11" spans="1:10" x14ac:dyDescent="0.3">
      <c r="A11" s="34" t="s">
        <v>112</v>
      </c>
      <c r="C11" s="4">
        <v>0</v>
      </c>
      <c r="D11" s="4">
        <v>-0.16</v>
      </c>
      <c r="E11" s="4">
        <v>0.16</v>
      </c>
      <c r="F11" s="4">
        <v>0</v>
      </c>
      <c r="G11" s="26">
        <v>0</v>
      </c>
      <c r="H11" s="26">
        <v>0</v>
      </c>
      <c r="I11" s="26">
        <v>0</v>
      </c>
      <c r="J11" s="26">
        <v>0</v>
      </c>
    </row>
    <row r="12" spans="1:10" x14ac:dyDescent="0.3">
      <c r="A12" s="34" t="s">
        <v>67</v>
      </c>
      <c r="C12" s="4">
        <v>-203.43</v>
      </c>
      <c r="D12" s="4">
        <v>-1193.99</v>
      </c>
      <c r="E12" s="4">
        <v>-1828.7</v>
      </c>
      <c r="F12" s="4">
        <v>-2184.6999999999998</v>
      </c>
      <c r="G12" s="26">
        <f>-IS!G14</f>
        <v>-2429.98</v>
      </c>
      <c r="H12" s="26">
        <f>-IS!H14</f>
        <v>-2429.98</v>
      </c>
      <c r="I12" s="26">
        <f>-IS!I14</f>
        <v>-2429.98</v>
      </c>
      <c r="J12" s="26">
        <f>-IS!J14</f>
        <v>-2429.98</v>
      </c>
    </row>
    <row r="13" spans="1:10" x14ac:dyDescent="0.3">
      <c r="A13" s="34" t="s">
        <v>68</v>
      </c>
      <c r="C13" s="4">
        <v>-106.86</v>
      </c>
      <c r="D13" s="4">
        <v>-147.41999999999999</v>
      </c>
      <c r="E13" s="4">
        <v>-166.04</v>
      </c>
      <c r="F13" s="4">
        <v>-75.819999999999993</v>
      </c>
      <c r="G13" s="26">
        <v>0</v>
      </c>
      <c r="H13" s="26">
        <v>0</v>
      </c>
      <c r="I13" s="26">
        <v>0</v>
      </c>
      <c r="J13" s="26">
        <v>0</v>
      </c>
    </row>
    <row r="14" spans="1:10" x14ac:dyDescent="0.3">
      <c r="A14" s="34" t="s">
        <v>69</v>
      </c>
      <c r="C14" s="4">
        <v>-2.4</v>
      </c>
      <c r="D14" s="4">
        <v>-49.68</v>
      </c>
      <c r="E14" s="4">
        <v>-67.31</v>
      </c>
      <c r="F14" s="4">
        <v>185.97</v>
      </c>
      <c r="G14" s="26">
        <v>0</v>
      </c>
      <c r="H14" s="26">
        <v>0</v>
      </c>
      <c r="I14" s="26">
        <v>0</v>
      </c>
      <c r="J14" s="26">
        <v>0</v>
      </c>
    </row>
    <row r="15" spans="1:10" x14ac:dyDescent="0.3">
      <c r="A15" s="34" t="s">
        <v>70</v>
      </c>
      <c r="C15" s="4">
        <v>-9.41</v>
      </c>
      <c r="D15" s="4">
        <v>0</v>
      </c>
      <c r="E15" s="4">
        <v>0</v>
      </c>
      <c r="F15" s="4">
        <v>0</v>
      </c>
      <c r="G15" s="26">
        <v>0</v>
      </c>
      <c r="H15" s="26">
        <v>0</v>
      </c>
      <c r="I15" s="26">
        <v>0</v>
      </c>
      <c r="J15" s="26">
        <v>0</v>
      </c>
    </row>
    <row r="16" spans="1:10" x14ac:dyDescent="0.3">
      <c r="A16" s="34" t="s">
        <v>71</v>
      </c>
      <c r="C16" s="4">
        <v>-9.35</v>
      </c>
      <c r="D16" s="4">
        <v>-2.15</v>
      </c>
      <c r="E16" s="4">
        <v>-46.36</v>
      </c>
      <c r="F16" s="4">
        <v>-14.5</v>
      </c>
      <c r="G16" s="26">
        <v>0</v>
      </c>
      <c r="H16" s="26">
        <v>0</v>
      </c>
      <c r="I16" s="26">
        <v>0</v>
      </c>
      <c r="J16" s="26">
        <v>0</v>
      </c>
    </row>
    <row r="17" spans="1:10" x14ac:dyDescent="0.3">
      <c r="A17" s="34" t="s">
        <v>113</v>
      </c>
      <c r="C17" s="4">
        <v>0</v>
      </c>
      <c r="D17" s="4">
        <v>0</v>
      </c>
      <c r="E17" s="4">
        <v>-22.16</v>
      </c>
      <c r="F17" s="4">
        <v>-42.53</v>
      </c>
      <c r="G17" s="26">
        <v>0</v>
      </c>
      <c r="H17" s="26">
        <v>0</v>
      </c>
      <c r="I17" s="26">
        <v>0</v>
      </c>
      <c r="J17" s="26">
        <v>0</v>
      </c>
    </row>
    <row r="18" spans="1:10" x14ac:dyDescent="0.3">
      <c r="A18" s="34" t="s">
        <v>117</v>
      </c>
      <c r="C18" s="4">
        <v>0</v>
      </c>
      <c r="D18" s="4">
        <v>0</v>
      </c>
      <c r="E18" s="4">
        <v>0</v>
      </c>
      <c r="F18" s="4">
        <v>13.43</v>
      </c>
      <c r="G18" s="26">
        <v>0</v>
      </c>
      <c r="H18" s="26">
        <v>0</v>
      </c>
      <c r="I18" s="26">
        <v>0</v>
      </c>
      <c r="J18" s="26">
        <v>0</v>
      </c>
    </row>
    <row r="19" spans="1:10" x14ac:dyDescent="0.3">
      <c r="A19" s="34" t="s">
        <v>114</v>
      </c>
      <c r="C19" s="4">
        <v>0</v>
      </c>
      <c r="D19" s="4">
        <v>0</v>
      </c>
      <c r="E19" s="4">
        <v>-225.8</v>
      </c>
      <c r="F19" s="4">
        <v>0</v>
      </c>
      <c r="G19" s="26">
        <v>0</v>
      </c>
      <c r="H19" s="26">
        <v>0</v>
      </c>
      <c r="I19" s="26">
        <v>0</v>
      </c>
      <c r="J19" s="26">
        <v>0</v>
      </c>
    </row>
    <row r="20" spans="1:10" x14ac:dyDescent="0.3">
      <c r="A20" s="34" t="s">
        <v>72</v>
      </c>
      <c r="C20" s="4">
        <v>-804.46</v>
      </c>
      <c r="D20" s="4">
        <v>0</v>
      </c>
      <c r="E20" s="4">
        <v>0</v>
      </c>
      <c r="F20" s="4">
        <v>0</v>
      </c>
      <c r="G20" s="26">
        <v>0</v>
      </c>
      <c r="H20" s="26">
        <v>0</v>
      </c>
      <c r="I20" s="26">
        <v>0</v>
      </c>
      <c r="J20" s="26">
        <v>0</v>
      </c>
    </row>
    <row r="21" spans="1:10" x14ac:dyDescent="0.3">
      <c r="A21" s="34" t="s">
        <v>73</v>
      </c>
      <c r="C21" s="4">
        <v>-34.42</v>
      </c>
      <c r="D21" s="4">
        <v>-26.84</v>
      </c>
      <c r="E21" s="4">
        <v>-9.18</v>
      </c>
      <c r="F21" s="4">
        <v>-112.28</v>
      </c>
      <c r="G21" s="26">
        <v>0</v>
      </c>
      <c r="H21" s="26">
        <v>0</v>
      </c>
      <c r="I21" s="26">
        <v>0</v>
      </c>
      <c r="J21" s="26">
        <v>0</v>
      </c>
    </row>
    <row r="22" spans="1:10" x14ac:dyDescent="0.3">
      <c r="A22" s="34" t="s">
        <v>74</v>
      </c>
      <c r="C22" s="4">
        <v>-86.7</v>
      </c>
      <c r="D22" s="4">
        <v>-5.73</v>
      </c>
      <c r="E22" s="4">
        <v>1.26</v>
      </c>
      <c r="F22" s="4">
        <v>2.71</v>
      </c>
      <c r="G22" s="26">
        <v>0</v>
      </c>
      <c r="H22" s="26">
        <v>0</v>
      </c>
      <c r="I22" s="26">
        <v>0</v>
      </c>
      <c r="J22" s="26">
        <v>0</v>
      </c>
    </row>
    <row r="23" spans="1:10" x14ac:dyDescent="0.3">
      <c r="A23" s="34" t="s">
        <v>75</v>
      </c>
      <c r="C23" s="4">
        <v>15</v>
      </c>
      <c r="D23" s="4">
        <v>0</v>
      </c>
      <c r="E23" s="4">
        <v>0</v>
      </c>
      <c r="F23" s="4">
        <v>107.14</v>
      </c>
      <c r="G23" s="26">
        <v>0</v>
      </c>
      <c r="H23" s="26">
        <v>0</v>
      </c>
      <c r="I23" s="26">
        <v>0</v>
      </c>
      <c r="J23" s="26">
        <v>0</v>
      </c>
    </row>
    <row r="24" spans="1:10" x14ac:dyDescent="0.3">
      <c r="A24" s="34" t="s">
        <v>76</v>
      </c>
      <c r="C24" s="4">
        <v>269.19</v>
      </c>
      <c r="D24" s="7">
        <v>15.98</v>
      </c>
      <c r="E24" s="4">
        <v>39.4</v>
      </c>
      <c r="F24" s="4">
        <v>22.98</v>
      </c>
      <c r="G24" s="26">
        <v>0</v>
      </c>
      <c r="H24" s="26">
        <v>0</v>
      </c>
      <c r="I24" s="26">
        <v>0</v>
      </c>
      <c r="J24" s="26">
        <v>0</v>
      </c>
    </row>
    <row r="25" spans="1:10" s="2" customFormat="1" x14ac:dyDescent="0.3">
      <c r="A25" s="56" t="s">
        <v>77</v>
      </c>
      <c r="B25" s="28"/>
      <c r="C25" s="29">
        <f t="shared" ref="C25:J25" si="0">SUM(C5:C24)</f>
        <v>6965.6100000000006</v>
      </c>
      <c r="D25" s="29">
        <f t="shared" si="0"/>
        <v>11512.5</v>
      </c>
      <c r="E25" s="29">
        <f t="shared" si="0"/>
        <v>15226.189999999997</v>
      </c>
      <c r="F25" s="29">
        <f t="shared" si="0"/>
        <v>19211.890000000003</v>
      </c>
      <c r="G25" s="53">
        <f t="shared" si="0"/>
        <v>30430.986392124043</v>
      </c>
      <c r="H25" s="53">
        <f t="shared" si="0"/>
        <v>35316.718963955362</v>
      </c>
      <c r="I25" s="53">
        <f t="shared" si="0"/>
        <v>52609.232715826147</v>
      </c>
      <c r="J25" s="53">
        <f t="shared" si="0"/>
        <v>66642.915053278659</v>
      </c>
    </row>
    <row r="26" spans="1:10" x14ac:dyDescent="0.3">
      <c r="A26" s="34" t="s">
        <v>78</v>
      </c>
    </row>
    <row r="27" spans="1:10" x14ac:dyDescent="0.3">
      <c r="A27" s="34" t="s">
        <v>79</v>
      </c>
      <c r="C27" s="4">
        <v>-2.69</v>
      </c>
      <c r="D27" s="4">
        <v>-0.34</v>
      </c>
      <c r="E27" s="4">
        <v>5.52</v>
      </c>
      <c r="F27" s="4">
        <v>20.75</v>
      </c>
      <c r="G27" s="26">
        <f>BS!F24-BS!G24</f>
        <v>0</v>
      </c>
      <c r="H27" s="26">
        <f>BS!G24-BS!H24</f>
        <v>0</v>
      </c>
      <c r="I27" s="26">
        <f>BS!H24-BS!I24</f>
        <v>0</v>
      </c>
      <c r="J27" s="26">
        <f>BS!I24-BS!J24</f>
        <v>0</v>
      </c>
    </row>
    <row r="28" spans="1:10" x14ac:dyDescent="0.3">
      <c r="A28" s="34" t="s">
        <v>80</v>
      </c>
      <c r="C28" s="4">
        <v>-4.0599999999999996</v>
      </c>
      <c r="D28" s="4">
        <v>-953.36</v>
      </c>
      <c r="E28" s="4">
        <v>-511.77</v>
      </c>
      <c r="F28" s="4">
        <v>-727.3</v>
      </c>
      <c r="G28" s="26">
        <f>BS!F25-BS!G25</f>
        <v>0</v>
      </c>
      <c r="H28" s="26">
        <f>BS!G25-BS!H25</f>
        <v>0</v>
      </c>
      <c r="I28" s="26">
        <f>BS!H25-BS!I25</f>
        <v>0</v>
      </c>
      <c r="J28" s="26">
        <f>BS!I25-BS!J25</f>
        <v>0</v>
      </c>
    </row>
    <row r="29" spans="1:10" x14ac:dyDescent="0.3">
      <c r="A29" s="34" t="s">
        <v>81</v>
      </c>
      <c r="C29" s="4">
        <v>-1504.05</v>
      </c>
      <c r="D29" s="4">
        <v>-1432.41</v>
      </c>
      <c r="E29" s="4">
        <v>762.89</v>
      </c>
      <c r="F29" s="4">
        <v>-793.17</v>
      </c>
      <c r="G29" s="26">
        <f>BS!F26-BS!G26</f>
        <v>0</v>
      </c>
      <c r="H29" s="26">
        <f>BS!G26-BS!H26</f>
        <v>0</v>
      </c>
      <c r="I29" s="26">
        <f>BS!H26-BS!I26</f>
        <v>0</v>
      </c>
      <c r="J29" s="26">
        <f>BS!I26-BS!J26</f>
        <v>0</v>
      </c>
    </row>
    <row r="30" spans="1:10" x14ac:dyDescent="0.3">
      <c r="A30" s="34" t="s">
        <v>82</v>
      </c>
      <c r="C30" s="4">
        <v>-5216.17</v>
      </c>
      <c r="D30" s="4">
        <v>-8994</v>
      </c>
      <c r="E30" s="4">
        <v>-9981.89</v>
      </c>
      <c r="F30" s="4">
        <v>-15297.88</v>
      </c>
      <c r="G30" s="26">
        <f>BS!F20-BS!G20</f>
        <v>-17880.515631799441</v>
      </c>
      <c r="H30" s="26">
        <f>BS!G20-BS!H20</f>
        <v>-17055.714635601369</v>
      </c>
      <c r="I30" s="26">
        <f>BS!H20-BS!I20</f>
        <v>-12503.828081224448</v>
      </c>
      <c r="J30" s="26">
        <f>BS!I20-BS!J20</f>
        <v>-19599.742949665437</v>
      </c>
    </row>
    <row r="31" spans="1:10" x14ac:dyDescent="0.3">
      <c r="A31" s="34" t="s">
        <v>83</v>
      </c>
      <c r="C31" s="4">
        <v>693.82</v>
      </c>
      <c r="D31" s="4">
        <v>-108.22</v>
      </c>
      <c r="E31" s="4">
        <v>-959.21</v>
      </c>
      <c r="F31" s="4">
        <v>-294.45</v>
      </c>
      <c r="G31" s="26">
        <f>BS!F21-BS!G21</f>
        <v>72.596008368194362</v>
      </c>
      <c r="H31" s="26">
        <f>BS!G21-BS!H21</f>
        <v>-601.7282650532145</v>
      </c>
      <c r="I31" s="26">
        <f>BS!H21-BS!I21</f>
        <v>-452.99980512090769</v>
      </c>
      <c r="J31" s="26">
        <f>BS!I21-BS!J21</f>
        <v>-700.44186314659146</v>
      </c>
    </row>
    <row r="32" spans="1:10" x14ac:dyDescent="0.3">
      <c r="A32" s="34" t="s">
        <v>115</v>
      </c>
      <c r="C32" s="4">
        <v>62.34</v>
      </c>
      <c r="D32" s="4">
        <v>92.21</v>
      </c>
      <c r="E32" s="4">
        <v>114.77</v>
      </c>
      <c r="F32" s="4">
        <v>37.729999999999997</v>
      </c>
      <c r="G32" s="26">
        <f>BS!G49-BS!F49</f>
        <v>0</v>
      </c>
      <c r="H32" s="26">
        <f>BS!H49-BS!G49</f>
        <v>0</v>
      </c>
      <c r="I32" s="26">
        <f>BS!I49-BS!H49</f>
        <v>0</v>
      </c>
      <c r="J32" s="26">
        <f>BS!J49-BS!I49</f>
        <v>0</v>
      </c>
    </row>
    <row r="33" spans="1:10" x14ac:dyDescent="0.3">
      <c r="A33" s="34" t="s">
        <v>84</v>
      </c>
      <c r="C33" s="4">
        <v>1220.43</v>
      </c>
      <c r="D33" s="4">
        <v>1406.13</v>
      </c>
      <c r="E33" s="4">
        <v>92.52</v>
      </c>
      <c r="F33" s="4">
        <v>-727.4</v>
      </c>
      <c r="G33" s="26">
        <f>BS!G46-BS!F46</f>
        <v>9108.8830573738524</v>
      </c>
      <c r="H33" s="26">
        <f>BS!H46-BS!G46</f>
        <v>7902.5887746272238</v>
      </c>
      <c r="I33" s="26">
        <f>BS!I46-BS!H46</f>
        <v>6885.8193258568608</v>
      </c>
      <c r="J33" s="26">
        <f>BS!J46-BS!I46</f>
        <v>12551.121494941959</v>
      </c>
    </row>
    <row r="34" spans="1:10" x14ac:dyDescent="0.3">
      <c r="A34" s="34" t="s">
        <v>85</v>
      </c>
      <c r="C34" s="4">
        <v>39.619999999999997</v>
      </c>
      <c r="D34" s="4">
        <v>146.53</v>
      </c>
      <c r="E34" s="4">
        <v>1017.96</v>
      </c>
      <c r="F34" s="4">
        <v>-573.16999999999996</v>
      </c>
      <c r="G34" s="26">
        <f>BS!G47-BS!F47</f>
        <v>0</v>
      </c>
      <c r="H34" s="26">
        <f>BS!H47-BS!G47</f>
        <v>0</v>
      </c>
      <c r="I34" s="26">
        <f>BS!I47-BS!H47</f>
        <v>0</v>
      </c>
      <c r="J34" s="26">
        <f>BS!J47-BS!I47</f>
        <v>0</v>
      </c>
    </row>
    <row r="35" spans="1:10" x14ac:dyDescent="0.3">
      <c r="A35" s="34" t="s">
        <v>86</v>
      </c>
      <c r="C35" s="4">
        <v>387.06</v>
      </c>
      <c r="D35" s="4">
        <v>148.66999999999999</v>
      </c>
      <c r="E35" s="4">
        <v>101.49</v>
      </c>
      <c r="F35" s="4">
        <v>584.39</v>
      </c>
      <c r="G35" s="26">
        <f>BS!G48-BS!F48</f>
        <v>0</v>
      </c>
      <c r="H35" s="26">
        <f>BS!H48-BS!G48</f>
        <v>0</v>
      </c>
      <c r="I35" s="26">
        <f>BS!I48-BS!H48</f>
        <v>0</v>
      </c>
      <c r="J35" s="26">
        <f>BS!J48-BS!I48</f>
        <v>0</v>
      </c>
    </row>
    <row r="36" spans="1:10" s="2" customFormat="1" x14ac:dyDescent="0.3">
      <c r="A36" s="56" t="s">
        <v>87</v>
      </c>
      <c r="B36" s="28"/>
      <c r="C36" s="59">
        <f t="shared" ref="C36:J36" si="1">SUM(C25:C35)</f>
        <v>2641.9100000000003</v>
      </c>
      <c r="D36" s="59">
        <f t="shared" si="1"/>
        <v>1817.7099999999996</v>
      </c>
      <c r="E36" s="59">
        <f t="shared" si="1"/>
        <v>5868.4699999999975</v>
      </c>
      <c r="F36" s="59">
        <f t="shared" si="1"/>
        <v>1441.3900000000065</v>
      </c>
      <c r="G36" s="32">
        <f t="shared" si="1"/>
        <v>21731.949826066651</v>
      </c>
      <c r="H36" s="32">
        <f t="shared" si="1"/>
        <v>25561.864837928002</v>
      </c>
      <c r="I36" s="32">
        <f t="shared" si="1"/>
        <v>46538.224155337652</v>
      </c>
      <c r="J36" s="32">
        <f t="shared" si="1"/>
        <v>58893.851735408593</v>
      </c>
    </row>
    <row r="37" spans="1:10" x14ac:dyDescent="0.3">
      <c r="A37" s="34" t="s">
        <v>88</v>
      </c>
      <c r="C37" s="4">
        <v>-977.31</v>
      </c>
      <c r="D37" s="7">
        <v>-2032.24</v>
      </c>
      <c r="E37" s="4">
        <v>-2787.08</v>
      </c>
      <c r="F37" s="4">
        <v>-3470.04</v>
      </c>
      <c r="G37" s="26">
        <f>-IS!G18</f>
        <v>-5513.6781657124284</v>
      </c>
      <c r="H37" s="26">
        <f>-IS!H18</f>
        <v>-6882.4749330298373</v>
      </c>
      <c r="I37" s="26">
        <f>-IS!I18</f>
        <v>-11372.63973529097</v>
      </c>
      <c r="J37" s="26">
        <f>-IS!J18</f>
        <v>-14988.895786278334</v>
      </c>
    </row>
    <row r="38" spans="1:10" s="2" customFormat="1" x14ac:dyDescent="0.3">
      <c r="A38" s="56" t="s">
        <v>89</v>
      </c>
      <c r="B38" s="28"/>
      <c r="C38" s="31">
        <f t="shared" ref="C38:J38" si="2">C36+C37</f>
        <v>1664.6000000000004</v>
      </c>
      <c r="D38" s="31">
        <f t="shared" si="2"/>
        <v>-214.53000000000043</v>
      </c>
      <c r="E38" s="31">
        <f t="shared" si="2"/>
        <v>3081.3899999999976</v>
      </c>
      <c r="F38" s="31">
        <f t="shared" si="2"/>
        <v>-2028.6499999999935</v>
      </c>
      <c r="G38" s="32">
        <f t="shared" si="2"/>
        <v>16218.271660354223</v>
      </c>
      <c r="H38" s="32">
        <f t="shared" si="2"/>
        <v>18679.389904898166</v>
      </c>
      <c r="I38" s="32">
        <f t="shared" si="2"/>
        <v>35165.584420046682</v>
      </c>
      <c r="J38" s="32">
        <f t="shared" si="2"/>
        <v>43904.955949130257</v>
      </c>
    </row>
    <row r="39" spans="1:10" x14ac:dyDescent="0.3">
      <c r="A39" s="34" t="s">
        <v>90</v>
      </c>
    </row>
    <row r="40" spans="1:10" x14ac:dyDescent="0.3">
      <c r="A40" s="34" t="s">
        <v>305</v>
      </c>
      <c r="B40" s="1" t="s">
        <v>307</v>
      </c>
      <c r="C40" s="4">
        <v>-2373.36</v>
      </c>
      <c r="D40" s="4">
        <v>-5663.64</v>
      </c>
      <c r="E40" s="4">
        <v>-3944.76</v>
      </c>
      <c r="F40" s="4">
        <v>-7933.01</v>
      </c>
      <c r="G40" s="26">
        <f>-'Capex Schedule'!G103</f>
        <v>-1896.6287135293358</v>
      </c>
      <c r="H40" s="26">
        <f>-'Capex Schedule'!H103</f>
        <v>-1847.5359083497688</v>
      </c>
      <c r="I40" s="26">
        <f>-'Capex Schedule'!I103</f>
        <v>-1885.313480672173</v>
      </c>
      <c r="J40" s="26">
        <f>-'Capex Schedule'!J103</f>
        <v>-4402.7953536880468</v>
      </c>
    </row>
    <row r="41" spans="1:10" x14ac:dyDescent="0.3">
      <c r="A41" s="34" t="s">
        <v>91</v>
      </c>
      <c r="C41" s="4">
        <v>19.760000000000002</v>
      </c>
      <c r="D41" s="4">
        <v>108.95</v>
      </c>
      <c r="E41" s="4">
        <v>788.31</v>
      </c>
      <c r="F41" s="4">
        <v>595.04</v>
      </c>
      <c r="G41" s="26">
        <f>-'Capex Schedule'!G104</f>
        <v>0</v>
      </c>
      <c r="H41" s="26">
        <f>-'Capex Schedule'!H104</f>
        <v>0</v>
      </c>
      <c r="I41" s="26">
        <f>-'Capex Schedule'!I104</f>
        <v>0</v>
      </c>
      <c r="J41" s="26">
        <f>-'Capex Schedule'!J104</f>
        <v>0</v>
      </c>
    </row>
    <row r="42" spans="1:10" x14ac:dyDescent="0.3">
      <c r="A42" s="34" t="s">
        <v>92</v>
      </c>
      <c r="C42" s="4">
        <v>-75</v>
      </c>
      <c r="D42" s="4">
        <v>-112.76</v>
      </c>
      <c r="E42" s="4">
        <v>-100</v>
      </c>
      <c r="F42" s="4">
        <v>0</v>
      </c>
      <c r="G42" s="26">
        <v>0</v>
      </c>
      <c r="H42" s="26">
        <v>0</v>
      </c>
      <c r="I42" s="26">
        <v>0</v>
      </c>
      <c r="J42" s="26">
        <v>0</v>
      </c>
    </row>
    <row r="43" spans="1:10" x14ac:dyDescent="0.3">
      <c r="A43" s="34" t="s">
        <v>116</v>
      </c>
      <c r="C43" s="4">
        <v>0</v>
      </c>
      <c r="D43" s="4">
        <v>0</v>
      </c>
      <c r="E43" s="4">
        <v>-1842.93</v>
      </c>
      <c r="F43" s="4">
        <v>-472.54</v>
      </c>
      <c r="G43" s="26">
        <v>0</v>
      </c>
      <c r="H43" s="26">
        <v>0</v>
      </c>
      <c r="I43" s="26">
        <v>0</v>
      </c>
      <c r="J43" s="26">
        <v>0</v>
      </c>
    </row>
    <row r="44" spans="1:10" x14ac:dyDescent="0.3">
      <c r="A44" s="34" t="s">
        <v>306</v>
      </c>
      <c r="B44" s="1" t="s">
        <v>308</v>
      </c>
      <c r="C44" s="4">
        <v>-10.93</v>
      </c>
      <c r="D44" s="4">
        <v>-20708.48</v>
      </c>
      <c r="E44" s="7">
        <v>-8370.4699999999993</v>
      </c>
      <c r="F44" s="4">
        <v>10155.700000000001</v>
      </c>
      <c r="G44" s="26">
        <v>0</v>
      </c>
      <c r="H44" s="26">
        <v>0</v>
      </c>
      <c r="I44" s="26">
        <v>0</v>
      </c>
      <c r="J44" s="26">
        <v>0</v>
      </c>
    </row>
    <row r="45" spans="1:10" x14ac:dyDescent="0.3">
      <c r="A45" s="34" t="s">
        <v>93</v>
      </c>
      <c r="C45" s="4">
        <v>62.03</v>
      </c>
      <c r="D45" s="7">
        <v>754.56</v>
      </c>
      <c r="E45" s="4">
        <v>1189.75</v>
      </c>
      <c r="F45" s="7">
        <v>2313.41</v>
      </c>
      <c r="G45" s="26">
        <f>IS!G14</f>
        <v>2429.98</v>
      </c>
      <c r="H45" s="26">
        <f>IS!H14</f>
        <v>2429.98</v>
      </c>
      <c r="I45" s="26">
        <f>IS!I14</f>
        <v>2429.98</v>
      </c>
      <c r="J45" s="26">
        <f>IS!J14</f>
        <v>2429.98</v>
      </c>
    </row>
    <row r="46" spans="1:10" s="2" customFormat="1" x14ac:dyDescent="0.3">
      <c r="A46" s="56" t="s">
        <v>94</v>
      </c>
      <c r="B46" s="28"/>
      <c r="C46" s="31">
        <f t="shared" ref="C46:J46" si="3">SUM(C40:C45)</f>
        <v>-2377.4999999999995</v>
      </c>
      <c r="D46" s="31">
        <f t="shared" si="3"/>
        <v>-25621.37</v>
      </c>
      <c r="E46" s="31">
        <f t="shared" si="3"/>
        <v>-12280.099999999999</v>
      </c>
      <c r="F46" s="31">
        <f t="shared" si="3"/>
        <v>4658.6000000000004</v>
      </c>
      <c r="G46" s="32">
        <f t="shared" si="3"/>
        <v>533.35128647066426</v>
      </c>
      <c r="H46" s="32">
        <f t="shared" si="3"/>
        <v>582.44409165023126</v>
      </c>
      <c r="I46" s="32">
        <f t="shared" si="3"/>
        <v>544.66651932782702</v>
      </c>
      <c r="J46" s="32">
        <f t="shared" si="3"/>
        <v>-1972.8153536880468</v>
      </c>
    </row>
    <row r="47" spans="1:10" x14ac:dyDescent="0.3">
      <c r="A47" s="34" t="s">
        <v>95</v>
      </c>
    </row>
    <row r="48" spans="1:10" x14ac:dyDescent="0.3">
      <c r="A48" s="34" t="s">
        <v>96</v>
      </c>
      <c r="C48" s="4">
        <v>5144.3599999999997</v>
      </c>
      <c r="D48" s="4">
        <v>37500</v>
      </c>
      <c r="E48" s="4">
        <v>17499.82</v>
      </c>
      <c r="F48" s="4">
        <v>0</v>
      </c>
      <c r="G48" s="26">
        <v>0</v>
      </c>
      <c r="H48" s="26">
        <v>0</v>
      </c>
      <c r="I48" s="26">
        <v>0</v>
      </c>
      <c r="J48" s="26">
        <v>0</v>
      </c>
    </row>
    <row r="49" spans="1:10" x14ac:dyDescent="0.3">
      <c r="A49" s="34" t="s">
        <v>97</v>
      </c>
      <c r="C49" s="4">
        <v>-384.58</v>
      </c>
      <c r="D49" s="4">
        <v>-3531.05</v>
      </c>
      <c r="E49" s="4">
        <v>-540.17999999999995</v>
      </c>
      <c r="F49" s="4">
        <v>0</v>
      </c>
      <c r="G49" s="26">
        <v>0</v>
      </c>
      <c r="H49" s="26">
        <v>0</v>
      </c>
      <c r="I49" s="26">
        <v>0</v>
      </c>
      <c r="J49" s="26">
        <v>0</v>
      </c>
    </row>
    <row r="50" spans="1:10" x14ac:dyDescent="0.3">
      <c r="A50" s="34" t="s">
        <v>98</v>
      </c>
      <c r="C50" s="4">
        <v>2225.63</v>
      </c>
      <c r="D50" s="4">
        <v>178.6</v>
      </c>
      <c r="E50" s="4">
        <v>26.75</v>
      </c>
      <c r="F50" s="4">
        <v>0</v>
      </c>
      <c r="G50" s="26">
        <v>0</v>
      </c>
      <c r="H50" s="26">
        <v>0</v>
      </c>
      <c r="I50" s="26">
        <v>0</v>
      </c>
      <c r="J50" s="26">
        <v>0</v>
      </c>
    </row>
    <row r="51" spans="1:10" x14ac:dyDescent="0.3">
      <c r="A51" s="34" t="s">
        <v>99</v>
      </c>
      <c r="C51" s="4">
        <v>-1084.32</v>
      </c>
      <c r="D51" s="4">
        <v>-3081.45</v>
      </c>
      <c r="E51" s="4">
        <v>-112.05</v>
      </c>
      <c r="F51" s="4">
        <v>-4.83</v>
      </c>
      <c r="G51" s="26">
        <v>0</v>
      </c>
      <c r="H51" s="26">
        <v>0</v>
      </c>
      <c r="I51" s="26">
        <v>0</v>
      </c>
      <c r="J51" s="26">
        <v>0</v>
      </c>
    </row>
    <row r="52" spans="1:10" x14ac:dyDescent="0.3">
      <c r="A52" s="34" t="s">
        <v>108</v>
      </c>
      <c r="C52" s="4">
        <v>739.78</v>
      </c>
      <c r="D52" s="4">
        <v>0</v>
      </c>
      <c r="E52" s="4">
        <v>0</v>
      </c>
      <c r="F52" s="4">
        <v>0</v>
      </c>
      <c r="G52" s="26">
        <v>0</v>
      </c>
      <c r="H52" s="26">
        <v>0</v>
      </c>
      <c r="I52" s="26">
        <v>0</v>
      </c>
      <c r="J52" s="26">
        <v>0</v>
      </c>
    </row>
    <row r="53" spans="1:10" x14ac:dyDescent="0.3">
      <c r="A53" s="34" t="s">
        <v>109</v>
      </c>
      <c r="C53" s="4">
        <v>-351.24</v>
      </c>
      <c r="D53" s="4">
        <v>0</v>
      </c>
      <c r="E53" s="4">
        <v>0</v>
      </c>
      <c r="F53" s="4">
        <v>0</v>
      </c>
      <c r="G53" s="26">
        <v>0</v>
      </c>
      <c r="H53" s="26">
        <v>0</v>
      </c>
      <c r="I53" s="26">
        <v>0</v>
      </c>
      <c r="J53" s="26">
        <v>0</v>
      </c>
    </row>
    <row r="54" spans="1:10" x14ac:dyDescent="0.3">
      <c r="A54" s="34" t="s">
        <v>100</v>
      </c>
      <c r="C54" s="4">
        <v>-786.45</v>
      </c>
      <c r="D54" s="4">
        <v>-2240.36</v>
      </c>
      <c r="E54" s="4">
        <v>-43.87</v>
      </c>
      <c r="F54" s="4">
        <v>-469.01</v>
      </c>
      <c r="G54" s="26">
        <v>0</v>
      </c>
      <c r="H54" s="26">
        <v>0</v>
      </c>
      <c r="I54" s="26">
        <v>0</v>
      </c>
      <c r="J54" s="26">
        <v>0</v>
      </c>
    </row>
    <row r="55" spans="1:10" x14ac:dyDescent="0.3">
      <c r="A55" s="34" t="s">
        <v>101</v>
      </c>
      <c r="C55" s="4">
        <v>-1204.74</v>
      </c>
      <c r="D55" s="4">
        <v>-2402.73</v>
      </c>
      <c r="E55" s="4">
        <v>-2814.86</v>
      </c>
      <c r="F55" s="4">
        <v>-3389.55</v>
      </c>
      <c r="G55" s="26">
        <f>-'Lease Schedule '!G27</f>
        <v>-6156.174912728754</v>
      </c>
      <c r="H55" s="26">
        <f>-'Lease Schedule '!H27</f>
        <v>-5779.1597778165542</v>
      </c>
      <c r="I55" s="26">
        <f>-'Lease Schedule '!I27</f>
        <v>-5501.9739609036233</v>
      </c>
      <c r="J55" s="26">
        <f>-'Lease Schedule '!J27</f>
        <v>-5303.5639684636317</v>
      </c>
    </row>
    <row r="56" spans="1:10" x14ac:dyDescent="0.3">
      <c r="A56" s="34" t="s">
        <v>102</v>
      </c>
      <c r="C56" s="4">
        <v>-1020.83</v>
      </c>
      <c r="D56" s="4">
        <v>-1152.9100000000001</v>
      </c>
      <c r="E56" s="4">
        <v>-1511.36</v>
      </c>
      <c r="F56" s="4">
        <v>-1824.71</v>
      </c>
      <c r="G56" s="26">
        <v>0</v>
      </c>
      <c r="H56" s="26">
        <v>0</v>
      </c>
      <c r="I56" s="26">
        <v>0</v>
      </c>
      <c r="J56" s="26">
        <v>0</v>
      </c>
    </row>
    <row r="57" spans="1:10" x14ac:dyDescent="0.3">
      <c r="A57" s="34" t="s">
        <v>103</v>
      </c>
      <c r="C57" s="4">
        <v>-627.22</v>
      </c>
      <c r="D57" s="4">
        <v>-413.65</v>
      </c>
      <c r="E57" s="4">
        <v>-36.49</v>
      </c>
      <c r="F57" s="4">
        <v>-151.75</v>
      </c>
      <c r="G57" s="26">
        <f>-IS!G13</f>
        <v>-2963.3104499999999</v>
      </c>
      <c r="H57" s="26">
        <f>-IS!H13</f>
        <v>-2783.3025214453023</v>
      </c>
      <c r="I57" s="26">
        <f>-IS!I13</f>
        <v>-2650.9586442191057</v>
      </c>
      <c r="J57" s="26">
        <f>-IS!J13</f>
        <v>-2556.2267132264847</v>
      </c>
    </row>
    <row r="58" spans="1:10" s="2" customFormat="1" x14ac:dyDescent="0.3">
      <c r="A58" s="56" t="s">
        <v>104</v>
      </c>
      <c r="B58" s="28"/>
      <c r="C58" s="31">
        <f t="shared" ref="C58:J58" si="4">SUM(C48:C57)</f>
        <v>2650.3900000000003</v>
      </c>
      <c r="D58" s="31">
        <f t="shared" si="4"/>
        <v>24856.449999999993</v>
      </c>
      <c r="E58" s="31">
        <f t="shared" si="4"/>
        <v>12467.76</v>
      </c>
      <c r="F58" s="31">
        <f t="shared" si="4"/>
        <v>-5839.85</v>
      </c>
      <c r="G58" s="32">
        <f t="shared" si="4"/>
        <v>-9119.4853627287539</v>
      </c>
      <c r="H58" s="32">
        <f t="shared" si="4"/>
        <v>-8562.462299261857</v>
      </c>
      <c r="I58" s="32">
        <f t="shared" si="4"/>
        <v>-8152.932605122729</v>
      </c>
      <c r="J58" s="32">
        <f t="shared" si="4"/>
        <v>-7859.7906816901159</v>
      </c>
    </row>
    <row r="59" spans="1:10" s="2" customFormat="1" x14ac:dyDescent="0.3">
      <c r="A59" s="33"/>
      <c r="B59" s="3"/>
      <c r="C59" s="35"/>
      <c r="D59" s="35"/>
      <c r="E59" s="35"/>
      <c r="F59" s="35"/>
      <c r="G59" s="36"/>
      <c r="H59" s="36"/>
      <c r="I59" s="36"/>
      <c r="J59" s="36"/>
    </row>
    <row r="60" spans="1:10" s="2" customFormat="1" x14ac:dyDescent="0.3">
      <c r="A60" s="33" t="s">
        <v>105</v>
      </c>
      <c r="B60" s="3"/>
      <c r="C60" s="67">
        <f t="shared" ref="C60:J60" si="5">C38+C46+C58</f>
        <v>1937.4900000000011</v>
      </c>
      <c r="D60" s="67">
        <f t="shared" si="5"/>
        <v>-979.45000000000437</v>
      </c>
      <c r="E60" s="67">
        <f t="shared" si="5"/>
        <v>3269.0499999999993</v>
      </c>
      <c r="F60" s="67">
        <f t="shared" si="5"/>
        <v>-3209.8999999999933</v>
      </c>
      <c r="G60" s="66">
        <f t="shared" si="5"/>
        <v>7632.1375840961318</v>
      </c>
      <c r="H60" s="66">
        <f t="shared" si="5"/>
        <v>10699.37169728654</v>
      </c>
      <c r="I60" s="66">
        <f t="shared" si="5"/>
        <v>27557.318334251777</v>
      </c>
      <c r="J60" s="66">
        <f t="shared" si="5"/>
        <v>34072.349913752092</v>
      </c>
    </row>
    <row r="61" spans="1:10" x14ac:dyDescent="0.3">
      <c r="A61" s="34" t="s">
        <v>106</v>
      </c>
      <c r="C61" s="7">
        <v>1830.83</v>
      </c>
      <c r="D61" s="7">
        <v>3768.32</v>
      </c>
      <c r="E61" s="7">
        <v>2788.87</v>
      </c>
      <c r="F61" s="4">
        <v>6057.91</v>
      </c>
      <c r="G61" s="26">
        <f>F62</f>
        <v>2848.0100000000066</v>
      </c>
      <c r="H61" s="26">
        <f t="shared" ref="H61:J61" si="6">G62</f>
        <v>10480.147584096139</v>
      </c>
      <c r="I61" s="26">
        <f t="shared" si="6"/>
        <v>21179.51928138268</v>
      </c>
      <c r="J61" s="26">
        <f t="shared" si="6"/>
        <v>48736.83761563446</v>
      </c>
    </row>
    <row r="62" spans="1:10" s="2" customFormat="1" x14ac:dyDescent="0.3">
      <c r="A62" s="56" t="s">
        <v>107</v>
      </c>
      <c r="B62" s="28" t="s">
        <v>110</v>
      </c>
      <c r="C62" s="31">
        <f t="shared" ref="C62:J62" si="7">C60+C61</f>
        <v>3768.3200000000011</v>
      </c>
      <c r="D62" s="31">
        <f t="shared" si="7"/>
        <v>2788.8699999999958</v>
      </c>
      <c r="E62" s="31">
        <f t="shared" si="7"/>
        <v>6057.9199999999992</v>
      </c>
      <c r="F62" s="31">
        <f t="shared" si="7"/>
        <v>2848.0100000000066</v>
      </c>
      <c r="G62" s="32">
        <f t="shared" si="7"/>
        <v>10480.147584096139</v>
      </c>
      <c r="H62" s="32">
        <f t="shared" si="7"/>
        <v>21179.51928138268</v>
      </c>
      <c r="I62" s="32">
        <f t="shared" si="7"/>
        <v>48736.83761563446</v>
      </c>
      <c r="J62" s="32">
        <f t="shared" si="7"/>
        <v>82809.187529386545</v>
      </c>
    </row>
  </sheetData>
  <sheetProtection algorithmName="SHA-512" hashValue="Nx5PmKqp4z+i64FQH3FJlAOztemPtzWJSYUCEsFrBw8Bh8shxafQd3iZnVFvjw3p/W8/5RKaHPmKEzQsvTKbJA==" saltValue="67dfgAHKjKX9IxdoU/pDcQ==" spinCount="100000" sheet="1" objects="1" scenarios="1"/>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9C01-A82E-41A5-B71A-D7DDE56F311F}">
  <dimension ref="A1:J26"/>
  <sheetViews>
    <sheetView showGridLines="0" zoomScaleNormal="100" workbookViewId="0">
      <pane xSplit="2" ySplit="3" topLeftCell="C4" activePane="bottomRight" state="frozen"/>
      <selection pane="topRight" activeCell="C1" sqref="C1"/>
      <selection pane="bottomLeft" activeCell="A4" sqref="A4"/>
      <selection pane="bottomRight" activeCell="B1" sqref="B1"/>
    </sheetView>
  </sheetViews>
  <sheetFormatPr defaultRowHeight="14.4" x14ac:dyDescent="0.3"/>
  <cols>
    <col min="1" max="1" width="42.5546875" style="34" customWidth="1"/>
    <col min="2" max="2" width="10" style="34" customWidth="1"/>
    <col min="3" max="5" width="11.88671875" style="4" bestFit="1" customWidth="1"/>
    <col min="6" max="6" width="11.5546875" style="4" bestFit="1" customWidth="1"/>
    <col min="7" max="10" width="11.5546875" style="26" bestFit="1" customWidth="1"/>
  </cols>
  <sheetData>
    <row r="1" spans="1:10" s="2" customFormat="1" ht="18" customHeight="1" x14ac:dyDescent="0.3">
      <c r="A1" s="33" t="s">
        <v>155</v>
      </c>
      <c r="B1" s="33"/>
      <c r="C1" s="35"/>
      <c r="D1" s="35"/>
      <c r="E1" s="35"/>
      <c r="F1" s="35"/>
      <c r="G1" s="36"/>
      <c r="H1" s="36"/>
      <c r="I1" s="36"/>
      <c r="J1" s="36"/>
    </row>
    <row r="2" spans="1:10" s="2" customFormat="1" x14ac:dyDescent="0.3">
      <c r="A2" s="33" t="s">
        <v>0</v>
      </c>
      <c r="B2" s="33"/>
      <c r="C2" s="35"/>
      <c r="D2" s="35"/>
      <c r="E2" s="35"/>
      <c r="F2" s="35"/>
      <c r="G2" s="36"/>
      <c r="H2" s="36"/>
      <c r="I2" s="36"/>
      <c r="J2" s="36"/>
    </row>
    <row r="3" spans="1:10" s="2" customFormat="1" x14ac:dyDescent="0.3">
      <c r="A3" s="33" t="s">
        <v>9</v>
      </c>
      <c r="B3" s="33" t="s">
        <v>1</v>
      </c>
      <c r="C3" s="35" t="s">
        <v>2</v>
      </c>
      <c r="D3" s="35" t="s">
        <v>3</v>
      </c>
      <c r="E3" s="35" t="s">
        <v>51</v>
      </c>
      <c r="F3" s="35" t="s">
        <v>4</v>
      </c>
      <c r="G3" s="36" t="s">
        <v>5</v>
      </c>
      <c r="H3" s="36" t="s">
        <v>6</v>
      </c>
      <c r="I3" s="36" t="s">
        <v>7</v>
      </c>
      <c r="J3" s="36" t="s">
        <v>364</v>
      </c>
    </row>
    <row r="4" spans="1:10" s="2" customFormat="1" x14ac:dyDescent="0.3">
      <c r="A4" s="34" t="str">
        <f>IS!A4</f>
        <v>Revenue from operations</v>
      </c>
      <c r="B4" s="33"/>
      <c r="C4" s="65">
        <f>IS!C4</f>
        <v>57728.37</v>
      </c>
      <c r="D4" s="65">
        <f>IS!D4</f>
        <v>78853.37</v>
      </c>
      <c r="E4" s="65">
        <f>IS!E4</f>
        <v>99899.21</v>
      </c>
      <c r="F4" s="65">
        <f>IS!F4</f>
        <v>125162.71</v>
      </c>
      <c r="G4" s="66">
        <f>G9+G26</f>
        <v>185499.77012916206</v>
      </c>
      <c r="H4" s="66">
        <f>H9+H26</f>
        <v>238779.17324723123</v>
      </c>
      <c r="I4" s="66">
        <f>I9+I26</f>
        <v>292842.84358833247</v>
      </c>
      <c r="J4" s="66">
        <f>J9+J26</f>
        <v>365888.92360219132</v>
      </c>
    </row>
    <row r="5" spans="1:10" s="2" customFormat="1" x14ac:dyDescent="0.3">
      <c r="A5" s="34" t="s">
        <v>173</v>
      </c>
      <c r="B5" s="33"/>
      <c r="C5" s="4" t="s">
        <v>11</v>
      </c>
      <c r="D5" s="24">
        <f>D4/C4-1</f>
        <v>0.36593792618776511</v>
      </c>
      <c r="E5" s="24">
        <f t="shared" ref="E5:J5" si="0">E4/D4-1</f>
        <v>0.26689842171615519</v>
      </c>
      <c r="F5" s="24">
        <f t="shared" si="0"/>
        <v>0.25288988771783072</v>
      </c>
      <c r="G5" s="24">
        <f t="shared" si="0"/>
        <v>0.48206898148148158</v>
      </c>
      <c r="H5" s="24">
        <f t="shared" si="0"/>
        <v>0.28722085790710761</v>
      </c>
      <c r="I5" s="24">
        <f t="shared" si="0"/>
        <v>0.22641702626687588</v>
      </c>
      <c r="J5" s="24">
        <f t="shared" si="0"/>
        <v>0.24943781831508338</v>
      </c>
    </row>
    <row r="6" spans="1:10" s="2" customFormat="1" x14ac:dyDescent="0.3">
      <c r="A6" s="34"/>
      <c r="B6" s="33"/>
      <c r="C6" s="4"/>
      <c r="D6" s="24"/>
      <c r="E6" s="24"/>
      <c r="F6" s="24"/>
      <c r="G6" s="24"/>
      <c r="H6" s="24"/>
      <c r="I6" s="24"/>
      <c r="J6" s="24"/>
    </row>
    <row r="7" spans="1:10" s="2" customFormat="1" x14ac:dyDescent="0.3">
      <c r="A7" s="56" t="s">
        <v>174</v>
      </c>
      <c r="B7" s="56"/>
      <c r="C7" s="29"/>
      <c r="D7" s="30"/>
      <c r="E7" s="30"/>
      <c r="F7" s="30"/>
      <c r="G7" s="30"/>
      <c r="H7" s="30"/>
      <c r="I7" s="30"/>
      <c r="J7" s="30"/>
    </row>
    <row r="8" spans="1:10" x14ac:dyDescent="0.3">
      <c r="A8" s="34" t="s">
        <v>153</v>
      </c>
      <c r="B8" s="34" t="s">
        <v>154</v>
      </c>
      <c r="C8" s="25">
        <v>0.2</v>
      </c>
      <c r="D8" s="38">
        <v>0.31</v>
      </c>
      <c r="E8" s="24">
        <v>0.3</v>
      </c>
      <c r="F8" s="24">
        <v>0.42699999999999999</v>
      </c>
      <c r="G8" s="27">
        <f>G9/G4</f>
        <v>0.37454396990693378</v>
      </c>
      <c r="H8" s="27">
        <f>H9/H4</f>
        <v>0.37826232995530878</v>
      </c>
      <c r="I8" s="27">
        <f>I9/I4</f>
        <v>0.40095743813890561</v>
      </c>
      <c r="J8" s="27">
        <f>J9/J4</f>
        <v>0.41718336194072986</v>
      </c>
    </row>
    <row r="9" spans="1:10" s="2" customFormat="1" x14ac:dyDescent="0.3">
      <c r="A9" s="33" t="s">
        <v>152</v>
      </c>
      <c r="B9" s="33"/>
      <c r="C9" s="6">
        <f>C4*C8</f>
        <v>11545.674000000001</v>
      </c>
      <c r="D9" s="6">
        <f>D4*D8</f>
        <v>24444.544699999999</v>
      </c>
      <c r="E9" s="6">
        <f>E4*E8</f>
        <v>29969.762999999999</v>
      </c>
      <c r="F9" s="6">
        <f>F4*F8</f>
        <v>53444.477169999998</v>
      </c>
      <c r="G9" s="43">
        <f>F9*(1+Assumption!G7)</f>
        <v>69477.820321000007</v>
      </c>
      <c r="H9" s="43">
        <f>G9*(1+Assumption!H7)</f>
        <v>90321.166417300017</v>
      </c>
      <c r="I9" s="43">
        <f>H9*(1+Assumption!I7)</f>
        <v>117417.51634249002</v>
      </c>
      <c r="J9" s="43">
        <f>I9*(1+Assumption!J7)</f>
        <v>152642.77124523703</v>
      </c>
    </row>
    <row r="11" spans="1:10" s="2" customFormat="1" x14ac:dyDescent="0.3">
      <c r="A11" s="56" t="s">
        <v>175</v>
      </c>
      <c r="B11" s="56"/>
      <c r="C11" s="31"/>
      <c r="D11" s="31"/>
      <c r="E11" s="31"/>
      <c r="F11" s="31"/>
      <c r="G11" s="32"/>
      <c r="H11" s="32"/>
      <c r="I11" s="32"/>
      <c r="J11" s="32"/>
    </row>
    <row r="12" spans="1:10" x14ac:dyDescent="0.3">
      <c r="A12" s="34" t="s">
        <v>156</v>
      </c>
      <c r="C12" s="4">
        <v>50</v>
      </c>
      <c r="D12" s="4">
        <v>56</v>
      </c>
      <c r="E12" s="4">
        <v>63</v>
      </c>
      <c r="F12" s="4">
        <v>73</v>
      </c>
      <c r="G12" s="26">
        <f>Assumption!G9</f>
        <v>100</v>
      </c>
      <c r="H12" s="26">
        <f>Assumption!H9</f>
        <v>108</v>
      </c>
      <c r="I12" s="26">
        <f>Assumption!I9</f>
        <v>116</v>
      </c>
      <c r="J12" s="26">
        <f>Assumption!J9</f>
        <v>124</v>
      </c>
    </row>
    <row r="13" spans="1:10" x14ac:dyDescent="0.3">
      <c r="A13" s="34" t="s">
        <v>157</v>
      </c>
      <c r="C13" s="4">
        <f>D12-C12</f>
        <v>6</v>
      </c>
      <c r="D13" s="4">
        <f t="shared" ref="D13:I13" si="1">E12-D12</f>
        <v>7</v>
      </c>
      <c r="E13" s="4">
        <f t="shared" si="1"/>
        <v>10</v>
      </c>
      <c r="F13" s="4">
        <f t="shared" si="1"/>
        <v>27</v>
      </c>
      <c r="G13" s="26">
        <f t="shared" si="1"/>
        <v>8</v>
      </c>
      <c r="H13" s="26">
        <f t="shared" si="1"/>
        <v>8</v>
      </c>
      <c r="I13" s="26">
        <f t="shared" si="1"/>
        <v>8</v>
      </c>
      <c r="J13" s="26">
        <v>20</v>
      </c>
    </row>
    <row r="15" spans="1:10" x14ac:dyDescent="0.3">
      <c r="A15" s="34" t="s">
        <v>158</v>
      </c>
      <c r="C15" s="4">
        <f>C12</f>
        <v>50</v>
      </c>
      <c r="D15" s="4">
        <f>C15+C16</f>
        <v>50</v>
      </c>
      <c r="E15" s="4">
        <f t="shared" ref="E15:J15" si="2">D15+D16</f>
        <v>56</v>
      </c>
      <c r="F15" s="4">
        <f t="shared" si="2"/>
        <v>63</v>
      </c>
      <c r="G15" s="26">
        <f t="shared" si="2"/>
        <v>73</v>
      </c>
      <c r="H15" s="26">
        <f t="shared" si="2"/>
        <v>100</v>
      </c>
      <c r="I15" s="26">
        <f t="shared" si="2"/>
        <v>108</v>
      </c>
      <c r="J15" s="26">
        <f t="shared" si="2"/>
        <v>116</v>
      </c>
    </row>
    <row r="16" spans="1:10" x14ac:dyDescent="0.3">
      <c r="A16" s="34" t="s">
        <v>159</v>
      </c>
      <c r="D16" s="4">
        <f>C17</f>
        <v>6</v>
      </c>
      <c r="E16" s="4">
        <f t="shared" ref="E16:J16" si="3">D17</f>
        <v>7</v>
      </c>
      <c r="F16" s="4">
        <f t="shared" si="3"/>
        <v>10</v>
      </c>
      <c r="G16" s="26">
        <f t="shared" si="3"/>
        <v>27</v>
      </c>
      <c r="H16" s="26">
        <f t="shared" si="3"/>
        <v>8</v>
      </c>
      <c r="I16" s="26">
        <f t="shared" si="3"/>
        <v>8</v>
      </c>
      <c r="J16" s="26">
        <f t="shared" si="3"/>
        <v>8</v>
      </c>
    </row>
    <row r="17" spans="1:10" x14ac:dyDescent="0.3">
      <c r="A17" s="34" t="s">
        <v>160</v>
      </c>
      <c r="C17" s="4">
        <f>C13</f>
        <v>6</v>
      </c>
      <c r="D17" s="4">
        <f t="shared" ref="D17:J17" si="4">D13</f>
        <v>7</v>
      </c>
      <c r="E17" s="4">
        <f t="shared" si="4"/>
        <v>10</v>
      </c>
      <c r="F17" s="4">
        <f t="shared" si="4"/>
        <v>27</v>
      </c>
      <c r="G17" s="26">
        <f t="shared" si="4"/>
        <v>8</v>
      </c>
      <c r="H17" s="26">
        <f t="shared" si="4"/>
        <v>8</v>
      </c>
      <c r="I17" s="26">
        <f t="shared" si="4"/>
        <v>8</v>
      </c>
      <c r="J17" s="26">
        <f t="shared" si="4"/>
        <v>20</v>
      </c>
    </row>
    <row r="19" spans="1:10" x14ac:dyDescent="0.3">
      <c r="A19" s="34" t="s">
        <v>161</v>
      </c>
      <c r="C19" s="4">
        <f>C26/C15</f>
        <v>923.65392000000008</v>
      </c>
      <c r="D19" s="4">
        <f>D26/D15</f>
        <v>1088.176506</v>
      </c>
      <c r="E19" s="4">
        <f>E26/E15</f>
        <v>1248.7401250000003</v>
      </c>
      <c r="F19" s="4">
        <f>F26/F15</f>
        <v>1138.3846480952382</v>
      </c>
      <c r="G19" s="26">
        <f>F19*(1+Assumption!G10)</f>
        <v>1252.223112904762</v>
      </c>
      <c r="H19" s="26">
        <f>G19*(1+Assumption!H10)</f>
        <v>1377.4454241952383</v>
      </c>
      <c r="I19" s="26">
        <f>H19*(1+Assumption!I10)</f>
        <v>1515.1899666147622</v>
      </c>
      <c r="J19" s="26">
        <f>I19*(1+Assumption!J10)</f>
        <v>1666.7089632762386</v>
      </c>
    </row>
    <row r="20" spans="1:10" x14ac:dyDescent="0.3">
      <c r="A20" s="34" t="s">
        <v>162</v>
      </c>
      <c r="G20" s="26">
        <f>G19/(1+Assumption!G11)</f>
        <v>782.63944556547619</v>
      </c>
      <c r="H20" s="26">
        <f>H19/(1+Assumption!H11)</f>
        <v>860.90339012202389</v>
      </c>
      <c r="I20" s="26">
        <f>I19/(1+Assumption!I11)</f>
        <v>946.99372913422633</v>
      </c>
      <c r="J20" s="26">
        <f>J19/(1+Assumption!J11)</f>
        <v>1041.6931020476491</v>
      </c>
    </row>
    <row r="21" spans="1:10" x14ac:dyDescent="0.3">
      <c r="A21" s="34" t="s">
        <v>163</v>
      </c>
      <c r="G21" s="26">
        <f>G20/(1+Assumption!G12)</f>
        <v>434.79969198082011</v>
      </c>
      <c r="H21" s="26">
        <f>H20/(1+Assumption!H12)</f>
        <v>478.27966117890213</v>
      </c>
      <c r="I21" s="26">
        <f>I20/(1+Assumption!I12)</f>
        <v>526.10762729679243</v>
      </c>
      <c r="J21" s="26">
        <f>J20/(1+Assumption!J12)</f>
        <v>578.71839002647164</v>
      </c>
    </row>
    <row r="23" spans="1:10" x14ac:dyDescent="0.3">
      <c r="A23" s="34" t="s">
        <v>168</v>
      </c>
      <c r="G23" s="26">
        <f>G19*G15</f>
        <v>91412.287242047634</v>
      </c>
      <c r="H23" s="26">
        <f t="shared" ref="H23:J23" si="5">H19*H15</f>
        <v>137744.54241952382</v>
      </c>
      <c r="I23" s="26">
        <f t="shared" si="5"/>
        <v>163640.5163943943</v>
      </c>
      <c r="J23" s="26">
        <f t="shared" si="5"/>
        <v>193338.23974004367</v>
      </c>
    </row>
    <row r="24" spans="1:10" x14ac:dyDescent="0.3">
      <c r="A24" s="34" t="s">
        <v>169</v>
      </c>
      <c r="G24" s="26">
        <f t="shared" ref="G24:J24" si="6">G20*G16</f>
        <v>21131.265030267856</v>
      </c>
      <c r="H24" s="26">
        <f t="shared" si="6"/>
        <v>6887.2271209761911</v>
      </c>
      <c r="I24" s="26">
        <f t="shared" si="6"/>
        <v>7575.9498330738106</v>
      </c>
      <c r="J24" s="26">
        <f t="shared" si="6"/>
        <v>8333.5448163811925</v>
      </c>
    </row>
    <row r="25" spans="1:10" x14ac:dyDescent="0.3">
      <c r="A25" s="34" t="s">
        <v>170</v>
      </c>
      <c r="G25" s="26">
        <f t="shared" ref="G25:J25" si="7">G21*G17</f>
        <v>3478.3975358465609</v>
      </c>
      <c r="H25" s="26">
        <f t="shared" si="7"/>
        <v>3826.2372894312171</v>
      </c>
      <c r="I25" s="26">
        <f t="shared" si="7"/>
        <v>4208.8610183743394</v>
      </c>
      <c r="J25" s="26">
        <f t="shared" si="7"/>
        <v>11574.367800529433</v>
      </c>
    </row>
    <row r="26" spans="1:10" s="2" customFormat="1" x14ac:dyDescent="0.3">
      <c r="A26" s="33" t="s">
        <v>171</v>
      </c>
      <c r="B26" s="33"/>
      <c r="C26" s="44">
        <f>C4-C9</f>
        <v>46182.696000000004</v>
      </c>
      <c r="D26" s="44">
        <f>D4-D9</f>
        <v>54408.825299999997</v>
      </c>
      <c r="E26" s="44">
        <f>E4-E9</f>
        <v>69929.447000000015</v>
      </c>
      <c r="F26" s="44">
        <f>F4-F9</f>
        <v>71718.232830000008</v>
      </c>
      <c r="G26" s="45">
        <f>SUM(G23:G25)</f>
        <v>116021.94980816204</v>
      </c>
      <c r="H26" s="45">
        <f t="shared" ref="H26:J26" si="8">SUM(H23:H25)</f>
        <v>148458.00682993123</v>
      </c>
      <c r="I26" s="45">
        <f t="shared" si="8"/>
        <v>175425.32724584243</v>
      </c>
      <c r="J26" s="45">
        <f t="shared" si="8"/>
        <v>213246.15235695429</v>
      </c>
    </row>
  </sheetData>
  <sheetProtection algorithmName="SHA-512" hashValue="aAO3hF0vSMPsye3vWRX9VWVXjRNJyureF+cDdQw+ZXWnsSSAekHWsMR7picYTzb6H7yAZ3GhnPtLNqqfN51qbQ==" saltValue="TZ1GGHSa8r6xoJ+TPjgwMA==" spinCount="100000" sheet="1" objects="1" scenarios="1"/>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5875-CD47-4ED8-9500-CB81C148636B}">
  <dimension ref="A1:J39"/>
  <sheetViews>
    <sheetView showGridLines="0" workbookViewId="0">
      <pane xSplit="2" ySplit="3" topLeftCell="C4" activePane="bottomRight" state="frozen"/>
      <selection activeCell="H124" sqref="H124"/>
      <selection pane="topRight" activeCell="H124" sqref="H124"/>
      <selection pane="bottomLeft" activeCell="H124" sqref="H124"/>
      <selection pane="bottomRight" activeCell="B1" sqref="B1"/>
    </sheetView>
  </sheetViews>
  <sheetFormatPr defaultRowHeight="14.4" x14ac:dyDescent="0.3"/>
  <cols>
    <col min="1" max="1" width="52.33203125" style="34" customWidth="1"/>
    <col min="2" max="2" width="9.77734375" style="34" bestFit="1" customWidth="1"/>
    <col min="3" max="3" width="10.6640625" style="4" bestFit="1" customWidth="1"/>
    <col min="4" max="6" width="13.33203125" style="4" bestFit="1" customWidth="1"/>
    <col min="7" max="10" width="13.33203125" style="26" bestFit="1" customWidth="1"/>
  </cols>
  <sheetData>
    <row r="1" spans="1:10" s="2" customFormat="1" ht="18" customHeight="1" x14ac:dyDescent="0.3">
      <c r="A1" s="33" t="s">
        <v>191</v>
      </c>
      <c r="B1" s="33"/>
      <c r="C1" s="35"/>
      <c r="D1" s="35"/>
      <c r="E1" s="35"/>
      <c r="F1" s="35"/>
      <c r="G1" s="36"/>
      <c r="H1" s="36"/>
      <c r="I1" s="36"/>
      <c r="J1" s="36"/>
    </row>
    <row r="2" spans="1:10" s="2" customFormat="1" x14ac:dyDescent="0.3">
      <c r="A2" s="33" t="s">
        <v>0</v>
      </c>
      <c r="B2" s="33"/>
      <c r="C2" s="35"/>
      <c r="D2" s="35"/>
      <c r="E2" s="35"/>
      <c r="F2" s="35"/>
      <c r="G2" s="36"/>
      <c r="H2" s="36"/>
      <c r="I2" s="36"/>
      <c r="J2" s="36"/>
    </row>
    <row r="3" spans="1:10" s="2" customFormat="1" x14ac:dyDescent="0.3">
      <c r="A3" s="33" t="s">
        <v>9</v>
      </c>
      <c r="B3" s="33" t="s">
        <v>1</v>
      </c>
      <c r="C3" s="35" t="s">
        <v>2</v>
      </c>
      <c r="D3" s="35" t="s">
        <v>3</v>
      </c>
      <c r="E3" s="35" t="s">
        <v>51</v>
      </c>
      <c r="F3" s="35" t="s">
        <v>4</v>
      </c>
      <c r="G3" s="36" t="s">
        <v>5</v>
      </c>
      <c r="H3" s="36" t="s">
        <v>6</v>
      </c>
      <c r="I3" s="36" t="s">
        <v>7</v>
      </c>
      <c r="J3" s="36" t="s">
        <v>364</v>
      </c>
    </row>
    <row r="4" spans="1:10" s="2" customFormat="1" x14ac:dyDescent="0.3">
      <c r="A4" s="33"/>
      <c r="B4" s="33"/>
      <c r="C4" s="35"/>
      <c r="D4" s="35"/>
      <c r="E4" s="35"/>
      <c r="F4" s="35"/>
      <c r="G4" s="36"/>
      <c r="H4" s="36"/>
      <c r="I4" s="36"/>
      <c r="J4" s="36"/>
    </row>
    <row r="5" spans="1:10" x14ac:dyDescent="0.3">
      <c r="A5" s="34" t="str">
        <f>IS!A4</f>
        <v>Revenue from operations</v>
      </c>
      <c r="C5" s="51">
        <f>IS!C4</f>
        <v>57728.37</v>
      </c>
      <c r="D5" s="51">
        <f>IS!D4</f>
        <v>78853.37</v>
      </c>
      <c r="E5" s="51">
        <f>IS!E4</f>
        <v>99899.21</v>
      </c>
      <c r="F5" s="51">
        <f>IS!F4</f>
        <v>125162.71</v>
      </c>
      <c r="G5" s="84">
        <f>IS!G4</f>
        <v>185499.77012916206</v>
      </c>
      <c r="H5" s="84">
        <f>IS!H4</f>
        <v>238779.17324723123</v>
      </c>
      <c r="I5" s="84">
        <f>IS!I4</f>
        <v>292842.84358833247</v>
      </c>
      <c r="J5" s="84">
        <f>IS!J4</f>
        <v>365888.92360219132</v>
      </c>
    </row>
    <row r="6" spans="1:10" x14ac:dyDescent="0.3">
      <c r="A6" s="56" t="s">
        <v>205</v>
      </c>
      <c r="B6" s="57"/>
      <c r="C6" s="29"/>
      <c r="D6" s="29"/>
      <c r="E6" s="29"/>
      <c r="F6" s="29"/>
      <c r="G6" s="53"/>
      <c r="H6" s="53"/>
      <c r="I6" s="53"/>
      <c r="J6" s="53"/>
    </row>
    <row r="7" spans="1:10" x14ac:dyDescent="0.3">
      <c r="A7" s="34" t="s">
        <v>190</v>
      </c>
      <c r="C7" s="24">
        <f>C8/C5</f>
        <v>0.7121704631535587</v>
      </c>
      <c r="D7" s="24">
        <f t="shared" ref="D7:F7" si="0">D8/D5</f>
        <v>0.69037620078888196</v>
      </c>
      <c r="E7" s="24">
        <f t="shared" si="0"/>
        <v>0.69906508770189468</v>
      </c>
      <c r="F7" s="24">
        <f t="shared" si="0"/>
        <v>0.70043010414204032</v>
      </c>
      <c r="G7" s="27">
        <f>Assumption!G16</f>
        <v>0.69</v>
      </c>
      <c r="H7" s="27">
        <f>Assumption!H16</f>
        <v>0.72</v>
      </c>
      <c r="I7" s="27">
        <f>Assumption!I16</f>
        <v>0.7</v>
      </c>
      <c r="J7" s="27">
        <f>Assumption!J16</f>
        <v>0.7</v>
      </c>
    </row>
    <row r="8" spans="1:10" s="2" customFormat="1" x14ac:dyDescent="0.3">
      <c r="A8" s="33" t="str">
        <f>IS!A5</f>
        <v xml:space="preserve">Cost of Goods Sold </v>
      </c>
      <c r="B8" s="33"/>
      <c r="C8" s="6">
        <f>IS!C5</f>
        <v>41112.44</v>
      </c>
      <c r="D8" s="6">
        <f>IS!D5</f>
        <v>54438.49</v>
      </c>
      <c r="E8" s="6">
        <f>IS!E5</f>
        <v>69836.05</v>
      </c>
      <c r="F8" s="6">
        <f>IS!F5</f>
        <v>87667.73</v>
      </c>
      <c r="G8" s="43">
        <f>G5*'Cost Model'!G7</f>
        <v>127994.84138912181</v>
      </c>
      <c r="H8" s="43">
        <f>H5*'Cost Model'!H7</f>
        <v>171921.00473800648</v>
      </c>
      <c r="I8" s="43">
        <f>I5*'Cost Model'!I7</f>
        <v>204989.99051183273</v>
      </c>
      <c r="J8" s="43">
        <f>J5*'Cost Model'!J7</f>
        <v>256122.2465215339</v>
      </c>
    </row>
    <row r="10" spans="1:10" x14ac:dyDescent="0.3">
      <c r="A10" s="56" t="s">
        <v>57</v>
      </c>
      <c r="B10" s="57"/>
      <c r="C10" s="29"/>
      <c r="D10" s="29"/>
      <c r="E10" s="29"/>
      <c r="F10" s="29"/>
      <c r="G10" s="53"/>
      <c r="H10" s="53"/>
      <c r="I10" s="53"/>
      <c r="J10" s="53"/>
    </row>
    <row r="11" spans="1:10" x14ac:dyDescent="0.3">
      <c r="A11" s="34" t="s">
        <v>210</v>
      </c>
      <c r="C11" s="46"/>
      <c r="D11" s="46">
        <f>SUM(D13:D15)</f>
        <v>542</v>
      </c>
      <c r="E11" s="46">
        <f t="shared" ref="E11:J11" si="1">SUM(E13:E15)</f>
        <v>632</v>
      </c>
      <c r="F11" s="46">
        <f t="shared" si="1"/>
        <v>780</v>
      </c>
      <c r="G11" s="46">
        <f t="shared" si="1"/>
        <v>1105</v>
      </c>
      <c r="H11" s="46">
        <f t="shared" si="1"/>
        <v>1193</v>
      </c>
      <c r="I11" s="46">
        <f t="shared" si="1"/>
        <v>1281</v>
      </c>
      <c r="J11" s="46">
        <f t="shared" si="1"/>
        <v>1369</v>
      </c>
    </row>
    <row r="13" spans="1:10" x14ac:dyDescent="0.3">
      <c r="A13" s="34" t="s">
        <v>193</v>
      </c>
      <c r="D13" s="4">
        <v>12</v>
      </c>
      <c r="E13" s="4">
        <v>10</v>
      </c>
      <c r="F13" s="4">
        <v>3</v>
      </c>
      <c r="G13" s="26">
        <f>Assumption!G18</f>
        <v>3</v>
      </c>
      <c r="H13" s="26">
        <f>Assumption!H18</f>
        <v>3</v>
      </c>
      <c r="I13" s="26">
        <f>Assumption!I18</f>
        <v>3</v>
      </c>
      <c r="J13" s="26">
        <f>Assumption!J18</f>
        <v>3</v>
      </c>
    </row>
    <row r="14" spans="1:10" x14ac:dyDescent="0.3">
      <c r="A14" s="34" t="s">
        <v>194</v>
      </c>
      <c r="D14" s="4">
        <v>3</v>
      </c>
      <c r="E14" s="4">
        <v>5</v>
      </c>
      <c r="F14" s="4">
        <v>2</v>
      </c>
      <c r="G14" s="26">
        <f>Assumption!G19</f>
        <v>2</v>
      </c>
      <c r="H14" s="26">
        <f>Assumption!H19</f>
        <v>2</v>
      </c>
      <c r="I14" s="26">
        <f>Assumption!I19</f>
        <v>2</v>
      </c>
      <c r="J14" s="26">
        <f>Assumption!J19</f>
        <v>2</v>
      </c>
    </row>
    <row r="15" spans="1:10" x14ac:dyDescent="0.3">
      <c r="A15" s="34" t="s">
        <v>195</v>
      </c>
      <c r="D15" s="4">
        <v>527</v>
      </c>
      <c r="E15" s="4">
        <v>617</v>
      </c>
      <c r="F15" s="4">
        <v>775</v>
      </c>
      <c r="G15" s="26">
        <f>G21*G22</f>
        <v>1100</v>
      </c>
      <c r="H15" s="26">
        <f t="shared" ref="H15:J15" si="2">H21*H22</f>
        <v>1188</v>
      </c>
      <c r="I15" s="26">
        <f t="shared" si="2"/>
        <v>1276</v>
      </c>
      <c r="J15" s="26">
        <f t="shared" si="2"/>
        <v>1364</v>
      </c>
    </row>
    <row r="17" spans="1:10" x14ac:dyDescent="0.3">
      <c r="A17" s="34" t="s">
        <v>196</v>
      </c>
      <c r="D17" s="4">
        <v>11.15</v>
      </c>
      <c r="E17" s="4">
        <v>39.25</v>
      </c>
      <c r="F17" s="4">
        <v>262.38299999999998</v>
      </c>
      <c r="G17" s="26">
        <f>F17*(1+Assumption!G21)</f>
        <v>267.63065999999998</v>
      </c>
      <c r="H17" s="26">
        <f>G17*(1+Assumption!H21)</f>
        <v>272.98327319999999</v>
      </c>
      <c r="I17" s="26">
        <f>H17*(1+Assumption!I21)</f>
        <v>278.442938664</v>
      </c>
      <c r="J17" s="26">
        <f>I17*(1+Assumption!J21)</f>
        <v>284.01179743727999</v>
      </c>
    </row>
    <row r="18" spans="1:10" x14ac:dyDescent="0.3">
      <c r="A18" s="34" t="s">
        <v>197</v>
      </c>
      <c r="D18" s="4">
        <v>109.09815999999999</v>
      </c>
      <c r="E18" s="4">
        <v>147.88999999999999</v>
      </c>
      <c r="F18" s="4">
        <v>83.213499999999996</v>
      </c>
      <c r="G18" s="26">
        <f>F18*(1+Assumption!G22)</f>
        <v>102.352605</v>
      </c>
      <c r="H18" s="26">
        <f>G18*(1+Assumption!H22)</f>
        <v>125.89370414999999</v>
      </c>
      <c r="I18" s="26">
        <f>H18*(1+Assumption!I22)</f>
        <v>154.8492561045</v>
      </c>
      <c r="J18" s="26">
        <f>I18*(1+Assumption!J22)</f>
        <v>190.46458500853501</v>
      </c>
    </row>
    <row r="19" spans="1:10" x14ac:dyDescent="0.3">
      <c r="A19" s="34" t="s">
        <v>198</v>
      </c>
      <c r="D19" s="4">
        <v>5.6535299999999999</v>
      </c>
      <c r="E19" s="4">
        <v>5.8672800000000001</v>
      </c>
      <c r="F19" s="4">
        <v>6.1764999999999999</v>
      </c>
      <c r="G19" s="26">
        <f>F19*(1+Assumption!G23)</f>
        <v>6.8330619500000003</v>
      </c>
      <c r="H19" s="26">
        <f>G19*(1+Assumption!H23)</f>
        <v>7.5594164352850006</v>
      </c>
      <c r="I19" s="26">
        <f>H19*(1+Assumption!I23)</f>
        <v>8.3629824023557973</v>
      </c>
      <c r="J19" s="26">
        <f>I19*(1+Assumption!J23)</f>
        <v>9.2519674317262197</v>
      </c>
    </row>
    <row r="20" spans="1:10" x14ac:dyDescent="0.3">
      <c r="D20" s="85"/>
      <c r="E20" s="85"/>
      <c r="F20" s="42"/>
    </row>
    <row r="21" spans="1:10" x14ac:dyDescent="0.3">
      <c r="A21" s="34" t="str">
        <f>Assumption!A9</f>
        <v>Number of Stores</v>
      </c>
      <c r="D21" s="63">
        <f>Assumption!D9</f>
        <v>56</v>
      </c>
      <c r="E21" s="63">
        <f>Assumption!E9</f>
        <v>63</v>
      </c>
      <c r="F21" s="63">
        <f>Assumption!F9</f>
        <v>73</v>
      </c>
      <c r="G21" s="86">
        <f>Assumption!G9</f>
        <v>100</v>
      </c>
      <c r="H21" s="86">
        <f>Assumption!H9</f>
        <v>108</v>
      </c>
      <c r="I21" s="86">
        <f>Assumption!I9</f>
        <v>116</v>
      </c>
      <c r="J21" s="86">
        <f>Assumption!J9</f>
        <v>124</v>
      </c>
    </row>
    <row r="22" spans="1:10" x14ac:dyDescent="0.3">
      <c r="A22" s="34" t="s">
        <v>199</v>
      </c>
      <c r="D22" s="63">
        <f>D15/D21</f>
        <v>9.4107142857142865</v>
      </c>
      <c r="E22" s="63">
        <f t="shared" ref="E22:F22" si="3">E15/E21</f>
        <v>9.7936507936507944</v>
      </c>
      <c r="F22" s="63">
        <f t="shared" si="3"/>
        <v>10.616438356164384</v>
      </c>
      <c r="G22" s="26">
        <f>Assumption!G20</f>
        <v>11</v>
      </c>
      <c r="H22" s="26">
        <f>Assumption!H20</f>
        <v>11</v>
      </c>
      <c r="I22" s="26">
        <f>Assumption!I20</f>
        <v>11</v>
      </c>
      <c r="J22" s="26">
        <f>Assumption!J20</f>
        <v>11</v>
      </c>
    </row>
    <row r="24" spans="1:10" s="2" customFormat="1" x14ac:dyDescent="0.3">
      <c r="A24" s="33" t="str">
        <f>IS!A7</f>
        <v>Employee benefits expense</v>
      </c>
      <c r="B24" s="33"/>
      <c r="C24" s="6">
        <f>IS!C7</f>
        <v>4238.1499999999996</v>
      </c>
      <c r="D24" s="6">
        <f>IS!D7</f>
        <v>5268.17</v>
      </c>
      <c r="E24" s="6">
        <f>IS!E7</f>
        <v>7036.38</v>
      </c>
      <c r="F24" s="6">
        <f>IS!F7</f>
        <v>8533.57</v>
      </c>
      <c r="G24" s="43">
        <f>(G13*G17)+(G14*G18)+(G15*G19)</f>
        <v>8523.9653350000008</v>
      </c>
      <c r="H24" s="43">
        <f>(H13*H17)+(H14*H18)+(H15*H19)</f>
        <v>10051.32395301858</v>
      </c>
      <c r="I24" s="43">
        <f>(I13*I17)+(I14*I18)+(I15*I19)</f>
        <v>11816.192873606997</v>
      </c>
      <c r="J24" s="43">
        <f>(J13*J17)+(J14*J18)+(J15*J19)</f>
        <v>13852.648139203475</v>
      </c>
    </row>
    <row r="26" spans="1:10" x14ac:dyDescent="0.3">
      <c r="A26" s="56" t="s">
        <v>182</v>
      </c>
      <c r="B26" s="57"/>
      <c r="C26" s="29"/>
      <c r="D26" s="29"/>
      <c r="E26" s="29"/>
      <c r="F26" s="29"/>
      <c r="G26" s="53"/>
      <c r="H26" s="53"/>
      <c r="I26" s="53"/>
      <c r="J26" s="53"/>
    </row>
    <row r="27" spans="1:10" x14ac:dyDescent="0.3">
      <c r="A27" s="34" t="s">
        <v>206</v>
      </c>
      <c r="C27" s="39">
        <f>C28/C5</f>
        <v>3.8547771225828829E-2</v>
      </c>
      <c r="D27" s="39">
        <f t="shared" ref="D27:F27" si="4">D28/D5</f>
        <v>3.403012452099384E-2</v>
      </c>
      <c r="E27" s="39">
        <f t="shared" si="4"/>
        <v>2.1022888969792652E-2</v>
      </c>
      <c r="F27" s="39">
        <f t="shared" si="4"/>
        <v>1.9442611940888782E-2</v>
      </c>
      <c r="G27" s="41">
        <f>Assumption!G25</f>
        <v>0.04</v>
      </c>
      <c r="H27" s="41">
        <f>Assumption!H25</f>
        <v>0.03</v>
      </c>
      <c r="I27" s="41">
        <f>Assumption!I25</f>
        <v>0.02</v>
      </c>
      <c r="J27" s="41">
        <f>Assumption!J25</f>
        <v>0.02</v>
      </c>
    </row>
    <row r="28" spans="1:10" s="2" customFormat="1" x14ac:dyDescent="0.3">
      <c r="A28" s="33" t="str">
        <f>IS!A8</f>
        <v>Advertisement and sales promotion expense</v>
      </c>
      <c r="B28" s="33"/>
      <c r="C28" s="87">
        <f>IS!C8</f>
        <v>2225.3000000000002</v>
      </c>
      <c r="D28" s="87">
        <f>IS!D8</f>
        <v>2683.39</v>
      </c>
      <c r="E28" s="87">
        <f>IS!E8</f>
        <v>2100.17</v>
      </c>
      <c r="F28" s="87">
        <f>IS!F8</f>
        <v>2433.4899999999998</v>
      </c>
      <c r="G28" s="43">
        <f>G5*G27</f>
        <v>7419.9908051664825</v>
      </c>
      <c r="H28" s="43">
        <f t="shared" ref="H28:J28" si="5">H5*H27</f>
        <v>7163.3751974169363</v>
      </c>
      <c r="I28" s="43">
        <f t="shared" si="5"/>
        <v>5856.8568717666494</v>
      </c>
      <c r="J28" s="43">
        <f t="shared" si="5"/>
        <v>7317.7784720438267</v>
      </c>
    </row>
    <row r="30" spans="1:10" s="2" customFormat="1" x14ac:dyDescent="0.3">
      <c r="A30" s="56" t="s">
        <v>208</v>
      </c>
      <c r="B30" s="56"/>
      <c r="C30" s="31"/>
      <c r="D30" s="31"/>
      <c r="E30" s="31"/>
      <c r="F30" s="31"/>
      <c r="G30" s="32"/>
      <c r="H30" s="32"/>
      <c r="I30" s="32"/>
      <c r="J30" s="32"/>
    </row>
    <row r="31" spans="1:10" x14ac:dyDescent="0.3">
      <c r="A31" s="34" t="s">
        <v>209</v>
      </c>
      <c r="C31" s="39">
        <f>C32/C5</f>
        <v>5.997016718123168E-2</v>
      </c>
      <c r="D31" s="39">
        <f>D32/D5</f>
        <v>6.3690873326022718E-2</v>
      </c>
      <c r="E31" s="39">
        <f>E32/E5</f>
        <v>5.7609364478457832E-2</v>
      </c>
      <c r="F31" s="39">
        <f>F32/F5</f>
        <v>6.008914316412612E-2</v>
      </c>
      <c r="G31" s="41">
        <f>Assumption!G27</f>
        <v>0.06</v>
      </c>
      <c r="H31" s="41">
        <f>Assumption!H27</f>
        <v>0.06</v>
      </c>
      <c r="I31" s="41">
        <f>Assumption!I27</f>
        <v>0.06</v>
      </c>
      <c r="J31" s="41">
        <f>Assumption!J27</f>
        <v>0.06</v>
      </c>
    </row>
    <row r="32" spans="1:10" s="2" customFormat="1" x14ac:dyDescent="0.3">
      <c r="A32" s="33" t="str">
        <f>IS!A9</f>
        <v>Other Expense</v>
      </c>
      <c r="B32" s="33"/>
      <c r="C32" s="6">
        <f>IS!C9</f>
        <v>3461.9799999999996</v>
      </c>
      <c r="D32" s="6">
        <f>IS!D9</f>
        <v>5022.24</v>
      </c>
      <c r="E32" s="6">
        <f>IS!E9</f>
        <v>5755.13</v>
      </c>
      <c r="F32" s="6">
        <f>IS!F9</f>
        <v>7520.92</v>
      </c>
      <c r="G32" s="43">
        <f>G5*G31</f>
        <v>11129.986207749724</v>
      </c>
      <c r="H32" s="43">
        <f>H5*H31</f>
        <v>14326.750394833873</v>
      </c>
      <c r="I32" s="43">
        <f>I5*I31</f>
        <v>17570.570615299948</v>
      </c>
      <c r="J32" s="43">
        <f>J5*J31</f>
        <v>21953.335416131478</v>
      </c>
    </row>
    <row r="34" spans="1:10" s="2" customFormat="1" x14ac:dyDescent="0.3">
      <c r="A34" s="56" t="s">
        <v>188</v>
      </c>
      <c r="B34" s="56"/>
      <c r="C34" s="31"/>
      <c r="D34" s="31"/>
      <c r="E34" s="31"/>
      <c r="F34" s="31"/>
      <c r="G34" s="32"/>
      <c r="H34" s="32"/>
      <c r="I34" s="32"/>
      <c r="J34" s="32"/>
    </row>
    <row r="35" spans="1:10" x14ac:dyDescent="0.3">
      <c r="A35" s="34" t="s">
        <v>281</v>
      </c>
      <c r="C35" s="24">
        <f>IS!C18/IS!C17</f>
        <v>0.25813378840889561</v>
      </c>
      <c r="D35" s="24">
        <f>IS!D18/IS!D17</f>
        <v>0.252592762452511</v>
      </c>
      <c r="E35" s="24">
        <f>IS!E18/IS!E17</f>
        <v>0.25170309427276988</v>
      </c>
      <c r="F35" s="24">
        <f>IS!F18/IS!F17</f>
        <v>0.25971448912343159</v>
      </c>
      <c r="G35" s="27">
        <f>Assumption!G29</f>
        <v>0.25553603356440202</v>
      </c>
      <c r="H35" s="27">
        <f>Assumption!H29</f>
        <v>0.25553603356440202</v>
      </c>
      <c r="I35" s="27">
        <f>Assumption!I29</f>
        <v>0.25553603356440202</v>
      </c>
      <c r="J35" s="27">
        <f>Assumption!J29</f>
        <v>0.25553603356440202</v>
      </c>
    </row>
    <row r="36" spans="1:10" x14ac:dyDescent="0.3">
      <c r="A36" s="34" t="str">
        <f>IS!A18</f>
        <v>Tax Expense</v>
      </c>
      <c r="C36" s="37">
        <f>IS!C18</f>
        <v>813.79000000000008</v>
      </c>
      <c r="D36" s="37">
        <f>IS!D18</f>
        <v>2037.83</v>
      </c>
      <c r="E36" s="37">
        <f>IS!E18</f>
        <v>2801.76</v>
      </c>
      <c r="F36" s="37">
        <f>IS!F18</f>
        <v>3378.07</v>
      </c>
      <c r="G36" s="26">
        <f>IS!G17*'Cost Model'!G35</f>
        <v>5513.6781657124284</v>
      </c>
      <c r="H36" s="26">
        <f>IS!H17*'Cost Model'!H35</f>
        <v>6882.4749330298373</v>
      </c>
      <c r="I36" s="26">
        <f>IS!I17*'Cost Model'!I35</f>
        <v>11372.63973529097</v>
      </c>
      <c r="J36" s="26">
        <f>IS!J17*'Cost Model'!J35</f>
        <v>14988.895786278334</v>
      </c>
    </row>
    <row r="38" spans="1:10" s="2" customFormat="1" x14ac:dyDescent="0.3">
      <c r="A38" s="56" t="s">
        <v>282</v>
      </c>
      <c r="B38" s="56"/>
      <c r="C38" s="31"/>
      <c r="D38" s="31"/>
      <c r="E38" s="31"/>
      <c r="F38" s="31"/>
      <c r="G38" s="32"/>
      <c r="H38" s="32"/>
      <c r="I38" s="32"/>
      <c r="J38" s="32"/>
    </row>
    <row r="39" spans="1:10" x14ac:dyDescent="0.3">
      <c r="A39" s="34" t="str">
        <f>IS!A20</f>
        <v>Dividend Paid</v>
      </c>
      <c r="C39" s="63">
        <f>IS!C20</f>
        <v>0</v>
      </c>
      <c r="D39" s="63">
        <f>IS!D20</f>
        <v>0</v>
      </c>
      <c r="E39" s="63">
        <f>IS!E20</f>
        <v>0</v>
      </c>
      <c r="F39" s="63">
        <f>IS!F20</f>
        <v>0</v>
      </c>
      <c r="G39" s="26">
        <f>Assumption!G31</f>
        <v>0</v>
      </c>
      <c r="H39" s="26">
        <f>Assumption!H31</f>
        <v>0</v>
      </c>
      <c r="I39" s="26">
        <f>Assumption!I31</f>
        <v>0</v>
      </c>
      <c r="J39" s="26">
        <f>Assumption!J31</f>
        <v>0</v>
      </c>
    </row>
  </sheetData>
  <sheetProtection algorithmName="SHA-512" hashValue="abBAshV6AtMIN/pWH0It9wCXdPcTMkll+Z3jQu8cdKqrYyMS9MPQHWi3yggBELWgoBx9bjUskZBi6S1oF77skQ==" saltValue="9qIO3KqTrMLYpx0LLw2mIQ=="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1489-48C3-4611-91AE-1EFCD99A221A}">
  <dimension ref="A1:L125"/>
  <sheetViews>
    <sheetView showGridLines="0" zoomScaleNormal="100" workbookViewId="0">
      <pane xSplit="2" ySplit="3" topLeftCell="C4" activePane="bottomRight" state="frozen"/>
      <selection pane="topRight" activeCell="C1" sqref="C1"/>
      <selection pane="bottomLeft" activeCell="A4" sqref="A4"/>
      <selection pane="bottomRight" activeCell="B1" sqref="B1"/>
    </sheetView>
  </sheetViews>
  <sheetFormatPr defaultRowHeight="14.4" x14ac:dyDescent="0.3"/>
  <cols>
    <col min="1" max="1" width="46.44140625" style="34" bestFit="1" customWidth="1"/>
    <col min="2" max="2" width="9.77734375" style="34" bestFit="1" customWidth="1"/>
    <col min="3" max="3" width="10.6640625" style="4" bestFit="1" customWidth="1"/>
    <col min="4" max="4" width="8.88671875" style="4"/>
    <col min="5" max="5" width="9.5546875" style="4" bestFit="1" customWidth="1"/>
    <col min="6" max="6" width="9.6640625" style="4" bestFit="1" customWidth="1"/>
    <col min="7" max="7" width="9.5546875" style="26" bestFit="1" customWidth="1"/>
    <col min="8" max="8" width="12" style="26" bestFit="1" customWidth="1"/>
    <col min="9" max="10" width="9.5546875" style="26" bestFit="1" customWidth="1"/>
  </cols>
  <sheetData>
    <row r="1" spans="1:10" s="2" customFormat="1" ht="18" customHeight="1" x14ac:dyDescent="0.3">
      <c r="A1" s="33" t="s">
        <v>393</v>
      </c>
      <c r="B1" s="33"/>
      <c r="C1" s="35"/>
      <c r="D1" s="35"/>
      <c r="E1" s="35"/>
      <c r="F1" s="35"/>
      <c r="G1" s="36"/>
      <c r="H1" s="36"/>
      <c r="I1" s="36"/>
      <c r="J1" s="36"/>
    </row>
    <row r="2" spans="1:10" s="2" customFormat="1" x14ac:dyDescent="0.3">
      <c r="A2" s="33" t="s">
        <v>0</v>
      </c>
      <c r="B2" s="33"/>
      <c r="C2" s="35"/>
      <c r="D2" s="35"/>
      <c r="E2" s="35"/>
      <c r="F2" s="35"/>
      <c r="G2" s="36"/>
      <c r="H2" s="36"/>
      <c r="I2" s="36"/>
      <c r="J2" s="36"/>
    </row>
    <row r="3" spans="1:10" s="2" customFormat="1" x14ac:dyDescent="0.3">
      <c r="A3" s="33" t="s">
        <v>9</v>
      </c>
      <c r="B3" s="33" t="s">
        <v>1</v>
      </c>
      <c r="C3" s="35" t="s">
        <v>2</v>
      </c>
      <c r="D3" s="35" t="s">
        <v>3</v>
      </c>
      <c r="E3" s="35" t="s">
        <v>51</v>
      </c>
      <c r="F3" s="35" t="s">
        <v>4</v>
      </c>
      <c r="G3" s="36" t="s">
        <v>5</v>
      </c>
      <c r="H3" s="36" t="s">
        <v>6</v>
      </c>
      <c r="I3" s="36" t="s">
        <v>7</v>
      </c>
      <c r="J3" s="36" t="s">
        <v>364</v>
      </c>
    </row>
    <row r="5" spans="1:10" s="2" customFormat="1" x14ac:dyDescent="0.3">
      <c r="A5" s="56" t="s">
        <v>211</v>
      </c>
      <c r="B5" s="56"/>
      <c r="C5" s="31"/>
      <c r="D5" s="31"/>
      <c r="E5" s="31"/>
      <c r="F5" s="31"/>
      <c r="G5" s="32"/>
      <c r="H5" s="32"/>
      <c r="I5" s="32"/>
      <c r="J5" s="32"/>
    </row>
    <row r="6" spans="1:10" x14ac:dyDescent="0.3">
      <c r="A6" s="34" t="s">
        <v>212</v>
      </c>
      <c r="C6" s="75">
        <v>2360.5300000000002</v>
      </c>
      <c r="D6" s="75">
        <v>2723.07</v>
      </c>
      <c r="E6" s="75">
        <v>3422.09</v>
      </c>
      <c r="F6" s="75">
        <v>4335.95</v>
      </c>
      <c r="G6" s="79">
        <v>5858.75</v>
      </c>
      <c r="H6" s="26">
        <f>G9</f>
        <v>6453.55</v>
      </c>
      <c r="I6" s="26">
        <f t="shared" ref="I6:J6" si="0">H9</f>
        <v>7048.35</v>
      </c>
      <c r="J6" s="26">
        <f t="shared" si="0"/>
        <v>7643.1500000000005</v>
      </c>
    </row>
    <row r="7" spans="1:10" x14ac:dyDescent="0.3">
      <c r="A7" s="34" t="s">
        <v>213</v>
      </c>
      <c r="C7" s="37">
        <v>485.3</v>
      </c>
      <c r="D7" s="37">
        <v>933.43</v>
      </c>
      <c r="E7" s="75">
        <v>1021.76</v>
      </c>
      <c r="F7" s="75">
        <v>2007.47</v>
      </c>
      <c r="G7" s="26">
        <f>G22*'Revenue Model'!G13</f>
        <v>594.79999999999995</v>
      </c>
      <c r="H7" s="26">
        <f>H22*'Revenue Model'!H13</f>
        <v>594.79999999999995</v>
      </c>
      <c r="I7" s="26">
        <f>I22*'Revenue Model'!I13</f>
        <v>594.79999999999995</v>
      </c>
      <c r="J7" s="26">
        <f>J22*'Revenue Model'!J13</f>
        <v>1487</v>
      </c>
    </row>
    <row r="8" spans="1:10" x14ac:dyDescent="0.3">
      <c r="A8" s="34" t="s">
        <v>214</v>
      </c>
      <c r="C8" s="37">
        <v>-122.77</v>
      </c>
      <c r="D8" s="37">
        <v>-234.41</v>
      </c>
      <c r="E8" s="37">
        <v>-107.9</v>
      </c>
      <c r="F8" s="37">
        <v>-484.67</v>
      </c>
      <c r="G8" s="26">
        <v>0</v>
      </c>
      <c r="H8" s="26">
        <v>0</v>
      </c>
      <c r="I8" s="26">
        <v>0</v>
      </c>
      <c r="J8" s="26">
        <v>0</v>
      </c>
    </row>
    <row r="9" spans="1:10" x14ac:dyDescent="0.3">
      <c r="A9" s="34" t="s">
        <v>215</v>
      </c>
      <c r="C9" s="75">
        <v>2723.06</v>
      </c>
      <c r="D9" s="75">
        <v>3422.09</v>
      </c>
      <c r="E9" s="75">
        <v>4335.95</v>
      </c>
      <c r="F9" s="75">
        <v>5858.75</v>
      </c>
      <c r="G9" s="26">
        <f>G6+G7-G8</f>
        <v>6453.55</v>
      </c>
      <c r="H9" s="26">
        <f>H6+H7+H8</f>
        <v>7048.35</v>
      </c>
      <c r="I9" s="26">
        <f t="shared" ref="I9:J9" si="1">I6+I7+I8</f>
        <v>7643.1500000000005</v>
      </c>
      <c r="J9" s="26">
        <f t="shared" si="1"/>
        <v>9130.1500000000015</v>
      </c>
    </row>
    <row r="10" spans="1:10" x14ac:dyDescent="0.3">
      <c r="C10" s="75"/>
      <c r="D10" s="75"/>
      <c r="E10" s="75"/>
      <c r="F10" s="75"/>
      <c r="G10" s="76"/>
      <c r="H10" s="76"/>
      <c r="I10" s="76"/>
      <c r="J10" s="76"/>
    </row>
    <row r="11" spans="1:10" x14ac:dyDescent="0.3">
      <c r="A11" s="34" t="s">
        <v>220</v>
      </c>
      <c r="C11" s="75">
        <v>1084.29</v>
      </c>
      <c r="D11" s="75">
        <v>1315.21</v>
      </c>
      <c r="E11" s="75">
        <v>1498.96</v>
      </c>
      <c r="F11" s="75">
        <v>2041.87</v>
      </c>
      <c r="G11" s="79">
        <v>2343.86</v>
      </c>
      <c r="H11" s="26">
        <f>G14</f>
        <v>3180.8242857142859</v>
      </c>
      <c r="I11" s="26">
        <f t="shared" ref="I11:J11" si="2">H14</f>
        <v>4102.76</v>
      </c>
      <c r="J11" s="26">
        <f t="shared" si="2"/>
        <v>5109.6671428571435</v>
      </c>
    </row>
    <row r="12" spans="1:10" x14ac:dyDescent="0.3">
      <c r="A12" s="34" t="s">
        <v>217</v>
      </c>
      <c r="C12" s="37">
        <v>353.69</v>
      </c>
      <c r="D12" s="37">
        <v>418.16</v>
      </c>
      <c r="E12" s="37">
        <v>650.80999999999995</v>
      </c>
      <c r="F12" s="37">
        <v>786.66</v>
      </c>
      <c r="G12" s="26">
        <f>G6/G18</f>
        <v>836.96428571428567</v>
      </c>
      <c r="H12" s="26">
        <f t="shared" ref="H12:J12" si="3">H6/H18</f>
        <v>921.93571428571431</v>
      </c>
      <c r="I12" s="26">
        <f t="shared" si="3"/>
        <v>1006.907142857143</v>
      </c>
      <c r="J12" s="26">
        <f t="shared" si="3"/>
        <v>1091.8785714285716</v>
      </c>
    </row>
    <row r="13" spans="1:10" x14ac:dyDescent="0.3">
      <c r="A13" s="34" t="s">
        <v>219</v>
      </c>
      <c r="C13" s="37">
        <v>-122.77</v>
      </c>
      <c r="D13" s="37">
        <v>-234.41</v>
      </c>
      <c r="E13" s="37">
        <v>-107.9</v>
      </c>
      <c r="F13" s="37">
        <v>-484.67</v>
      </c>
      <c r="G13" s="26">
        <v>0</v>
      </c>
      <c r="H13" s="26">
        <v>0</v>
      </c>
      <c r="I13" s="26">
        <v>0</v>
      </c>
      <c r="J13" s="26">
        <v>0</v>
      </c>
    </row>
    <row r="14" spans="1:10" x14ac:dyDescent="0.3">
      <c r="A14" s="34" t="s">
        <v>221</v>
      </c>
      <c r="C14" s="75">
        <v>1315.21</v>
      </c>
      <c r="D14" s="75">
        <v>1498.96</v>
      </c>
      <c r="E14" s="75">
        <v>2041.87</v>
      </c>
      <c r="F14" s="75">
        <v>2343.86</v>
      </c>
      <c r="G14" s="26">
        <f>G11+G12+G13</f>
        <v>3180.8242857142859</v>
      </c>
      <c r="H14" s="26">
        <f t="shared" ref="H14:J14" si="4">H11+H12+H13</f>
        <v>4102.76</v>
      </c>
      <c r="I14" s="26">
        <f t="shared" si="4"/>
        <v>5109.6671428571435</v>
      </c>
      <c r="J14" s="26">
        <f t="shared" si="4"/>
        <v>6201.5457142857149</v>
      </c>
    </row>
    <row r="15" spans="1:10" x14ac:dyDescent="0.3">
      <c r="C15" s="75"/>
      <c r="D15" s="75"/>
      <c r="E15" s="75"/>
      <c r="F15" s="75"/>
      <c r="G15" s="76"/>
      <c r="H15" s="76"/>
      <c r="I15" s="76"/>
      <c r="J15" s="76"/>
    </row>
    <row r="16" spans="1:10" x14ac:dyDescent="0.3">
      <c r="A16" s="34" t="s">
        <v>216</v>
      </c>
      <c r="C16" s="75">
        <v>1407.85</v>
      </c>
      <c r="D16" s="75">
        <v>1923.13</v>
      </c>
      <c r="E16" s="75">
        <v>2294.08</v>
      </c>
      <c r="F16" s="75">
        <v>3514.89</v>
      </c>
      <c r="G16" s="26">
        <f>G9-G14</f>
        <v>3272.7257142857143</v>
      </c>
      <c r="H16" s="26">
        <f t="shared" ref="H16:J16" si="5">H9-H14</f>
        <v>2945.59</v>
      </c>
      <c r="I16" s="26">
        <f t="shared" si="5"/>
        <v>2533.482857142857</v>
      </c>
      <c r="J16" s="26">
        <f t="shared" si="5"/>
        <v>2928.6042857142866</v>
      </c>
    </row>
    <row r="18" spans="1:10" x14ac:dyDescent="0.3">
      <c r="A18" s="34" t="s">
        <v>227</v>
      </c>
      <c r="B18" s="34" t="s">
        <v>230</v>
      </c>
      <c r="C18" s="4">
        <f>C9/C12</f>
        <v>7.6990019508609233</v>
      </c>
      <c r="D18" s="4">
        <f t="shared" ref="D18:F18" si="6">D9/D12</f>
        <v>8.1836856705567254</v>
      </c>
      <c r="E18" s="4">
        <f t="shared" si="6"/>
        <v>6.6623899448379715</v>
      </c>
      <c r="F18" s="4">
        <f t="shared" si="6"/>
        <v>7.4476266748023292</v>
      </c>
      <c r="G18" s="26">
        <f>Assumption!G36</f>
        <v>7</v>
      </c>
      <c r="H18" s="26">
        <f>Assumption!H36</f>
        <v>7</v>
      </c>
      <c r="I18" s="26">
        <f>Assumption!I36</f>
        <v>7</v>
      </c>
      <c r="J18" s="26">
        <f>Assumption!J36</f>
        <v>7</v>
      </c>
    </row>
    <row r="19" spans="1:10" x14ac:dyDescent="0.3">
      <c r="A19" s="34" t="s">
        <v>228</v>
      </c>
      <c r="B19" s="34" t="s">
        <v>231</v>
      </c>
      <c r="C19" s="4">
        <f>C14/C12</f>
        <v>3.7185388334417144</v>
      </c>
      <c r="D19" s="4">
        <f t="shared" ref="D19:F19" si="7">D14/D12</f>
        <v>3.5846565907786494</v>
      </c>
      <c r="E19" s="4">
        <f t="shared" si="7"/>
        <v>3.1374287426437824</v>
      </c>
      <c r="F19" s="4">
        <f t="shared" si="7"/>
        <v>2.9795083009178045</v>
      </c>
      <c r="G19" s="26">
        <f t="shared" ref="G19:J19" si="8">G14/G12</f>
        <v>3.8004301258800943</v>
      </c>
      <c r="H19" s="26">
        <f t="shared" si="8"/>
        <v>4.450158439928412</v>
      </c>
      <c r="I19" s="26">
        <f t="shared" si="8"/>
        <v>5.0746160448899387</v>
      </c>
      <c r="J19" s="26">
        <f t="shared" si="8"/>
        <v>5.6797027403622851</v>
      </c>
    </row>
    <row r="20" spans="1:10" x14ac:dyDescent="0.3">
      <c r="A20" s="34" t="s">
        <v>229</v>
      </c>
      <c r="B20" s="34" t="s">
        <v>232</v>
      </c>
      <c r="C20" s="4">
        <f>C16/C12</f>
        <v>3.9804631174192089</v>
      </c>
      <c r="D20" s="4">
        <f t="shared" ref="D20:F20" si="9">D16/D12</f>
        <v>4.5990290797780755</v>
      </c>
      <c r="E20" s="4">
        <f t="shared" si="9"/>
        <v>3.5249612021941892</v>
      </c>
      <c r="F20" s="4">
        <f t="shared" si="9"/>
        <v>4.4681183738845247</v>
      </c>
      <c r="G20" s="26">
        <f t="shared" ref="G20:J20" si="10">G16/G12</f>
        <v>3.9102334115639006</v>
      </c>
      <c r="H20" s="26">
        <f t="shared" si="10"/>
        <v>3.1950058494936897</v>
      </c>
      <c r="I20" s="26">
        <f t="shared" si="10"/>
        <v>2.5161037689672048</v>
      </c>
      <c r="J20" s="26">
        <f t="shared" si="10"/>
        <v>2.682170309361978</v>
      </c>
    </row>
    <row r="22" spans="1:10" x14ac:dyDescent="0.3">
      <c r="A22" s="34" t="s">
        <v>237</v>
      </c>
      <c r="C22" s="4">
        <f>C7/'Revenue Model'!C13</f>
        <v>80.88333333333334</v>
      </c>
      <c r="D22" s="4">
        <f>D7/'Revenue Model'!D13</f>
        <v>133.34714285714284</v>
      </c>
      <c r="E22" s="4">
        <f>E7/'Revenue Model'!E13</f>
        <v>102.176</v>
      </c>
      <c r="F22" s="4">
        <f>F7/'Revenue Model'!F13</f>
        <v>74.350740740740747</v>
      </c>
      <c r="G22" s="26">
        <f>Assumption!G37</f>
        <v>74.349999999999994</v>
      </c>
      <c r="H22" s="26">
        <f>Assumption!H37</f>
        <v>74.349999999999994</v>
      </c>
      <c r="I22" s="26">
        <f>Assumption!I37</f>
        <v>74.349999999999994</v>
      </c>
      <c r="J22" s="26">
        <f>Assumption!J37</f>
        <v>74.349999999999994</v>
      </c>
    </row>
    <row r="24" spans="1:10" s="2" customFormat="1" x14ac:dyDescent="0.3">
      <c r="A24" s="56" t="s">
        <v>218</v>
      </c>
      <c r="B24" s="56"/>
      <c r="C24" s="31"/>
      <c r="D24" s="31"/>
      <c r="E24" s="31"/>
      <c r="F24" s="31"/>
      <c r="G24" s="32"/>
      <c r="H24" s="32"/>
      <c r="I24" s="32"/>
      <c r="J24" s="32"/>
    </row>
    <row r="25" spans="1:10" x14ac:dyDescent="0.3">
      <c r="A25" s="34" t="s">
        <v>212</v>
      </c>
      <c r="C25" s="37">
        <v>349.39</v>
      </c>
      <c r="D25" s="37">
        <v>353.35</v>
      </c>
      <c r="E25" s="37">
        <v>376.12</v>
      </c>
      <c r="F25" s="37">
        <v>401.58</v>
      </c>
      <c r="G25" s="80">
        <v>667.91</v>
      </c>
      <c r="H25" s="76">
        <f>G28</f>
        <v>667.91</v>
      </c>
      <c r="I25" s="76">
        <f t="shared" ref="I25:J25" si="11">H28</f>
        <v>667.91</v>
      </c>
      <c r="J25" s="76">
        <f t="shared" si="11"/>
        <v>667.91</v>
      </c>
    </row>
    <row r="26" spans="1:10" x14ac:dyDescent="0.3">
      <c r="A26" s="34" t="s">
        <v>213</v>
      </c>
      <c r="C26" s="37">
        <v>3.96</v>
      </c>
      <c r="D26" s="37">
        <v>53.6</v>
      </c>
      <c r="E26" s="37">
        <v>25.53</v>
      </c>
      <c r="F26" s="37">
        <v>266.33</v>
      </c>
      <c r="G26" s="26">
        <f>Assumption!G40</f>
        <v>0</v>
      </c>
      <c r="H26" s="26">
        <f>Assumption!H40</f>
        <v>0</v>
      </c>
      <c r="I26" s="26">
        <f>Assumption!I40</f>
        <v>0</v>
      </c>
      <c r="J26" s="26">
        <f>Assumption!J40</f>
        <v>0</v>
      </c>
    </row>
    <row r="27" spans="1:10" x14ac:dyDescent="0.3">
      <c r="A27" s="34" t="s">
        <v>214</v>
      </c>
      <c r="C27" s="4">
        <v>0</v>
      </c>
      <c r="D27" s="37">
        <v>-30.83</v>
      </c>
      <c r="E27" s="37">
        <v>-7.0000000000000007E-2</v>
      </c>
      <c r="F27" s="4">
        <v>0</v>
      </c>
      <c r="G27" s="26">
        <v>0</v>
      </c>
      <c r="H27" s="26">
        <v>0</v>
      </c>
      <c r="I27" s="26">
        <v>0</v>
      </c>
      <c r="J27" s="26">
        <v>0</v>
      </c>
    </row>
    <row r="28" spans="1:10" x14ac:dyDescent="0.3">
      <c r="A28" s="34" t="s">
        <v>215</v>
      </c>
      <c r="C28" s="37">
        <v>353.35</v>
      </c>
      <c r="D28" s="37">
        <v>376.12</v>
      </c>
      <c r="E28" s="37">
        <v>401.58</v>
      </c>
      <c r="F28" s="37">
        <v>667.91</v>
      </c>
      <c r="G28" s="26">
        <f>G25+G26-G27</f>
        <v>667.91</v>
      </c>
      <c r="H28" s="26">
        <f>H25+H26+H27</f>
        <v>667.91</v>
      </c>
      <c r="I28" s="26">
        <f t="shared" ref="I28:J28" si="12">I25+I26+I27</f>
        <v>667.91</v>
      </c>
      <c r="J28" s="26">
        <f t="shared" si="12"/>
        <v>667.91</v>
      </c>
    </row>
    <row r="29" spans="1:10" x14ac:dyDescent="0.3">
      <c r="C29" s="75"/>
      <c r="D29" s="75"/>
      <c r="E29" s="75"/>
      <c r="F29" s="75"/>
    </row>
    <row r="30" spans="1:10" x14ac:dyDescent="0.3">
      <c r="A30" s="34" t="s">
        <v>220</v>
      </c>
      <c r="C30" s="37">
        <v>25.43</v>
      </c>
      <c r="D30" s="37">
        <v>45.2</v>
      </c>
      <c r="E30" s="37">
        <v>35.83</v>
      </c>
      <c r="F30" s="37">
        <v>63.35</v>
      </c>
      <c r="G30" s="80">
        <v>111.74</v>
      </c>
      <c r="H30" s="26">
        <f>G33</f>
        <v>160.13</v>
      </c>
      <c r="I30" s="26">
        <f t="shared" ref="I30:J30" si="13">H33</f>
        <v>208.51999999999998</v>
      </c>
      <c r="J30" s="26">
        <f t="shared" si="13"/>
        <v>256.90999999999997</v>
      </c>
    </row>
    <row r="31" spans="1:10" x14ac:dyDescent="0.3">
      <c r="A31" s="34" t="s">
        <v>217</v>
      </c>
      <c r="C31" s="37">
        <v>19.77</v>
      </c>
      <c r="D31" s="37">
        <v>21.46</v>
      </c>
      <c r="E31" s="37">
        <v>27.59</v>
      </c>
      <c r="F31" s="37">
        <v>48.39</v>
      </c>
      <c r="G31" s="26">
        <f>G25/G37</f>
        <v>48.39</v>
      </c>
      <c r="H31" s="26">
        <f t="shared" ref="H31:J31" si="14">H25/H37</f>
        <v>48.39</v>
      </c>
      <c r="I31" s="26">
        <f t="shared" si="14"/>
        <v>48.39</v>
      </c>
      <c r="J31" s="26">
        <f t="shared" si="14"/>
        <v>48.39</v>
      </c>
    </row>
    <row r="32" spans="1:10" x14ac:dyDescent="0.3">
      <c r="A32" s="34" t="s">
        <v>219</v>
      </c>
      <c r="C32" s="4">
        <v>0</v>
      </c>
      <c r="D32" s="37">
        <v>-30.83</v>
      </c>
      <c r="E32" s="37">
        <v>-7.0000000000000007E-2</v>
      </c>
      <c r="F32" s="4">
        <v>0</v>
      </c>
      <c r="G32" s="26">
        <v>0</v>
      </c>
      <c r="H32" s="26">
        <v>0</v>
      </c>
      <c r="I32" s="26">
        <v>0</v>
      </c>
      <c r="J32" s="26">
        <v>0</v>
      </c>
    </row>
    <row r="33" spans="1:11" x14ac:dyDescent="0.3">
      <c r="A33" s="34" t="s">
        <v>221</v>
      </c>
      <c r="C33" s="37">
        <v>45.2</v>
      </c>
      <c r="D33" s="37">
        <v>35.83</v>
      </c>
      <c r="E33" s="37">
        <v>63.35</v>
      </c>
      <c r="F33" s="37">
        <v>111.74</v>
      </c>
      <c r="G33" s="26">
        <f>G30+G31+G32</f>
        <v>160.13</v>
      </c>
      <c r="H33" s="26">
        <f t="shared" ref="H33:J33" si="15">H30+H31+H32</f>
        <v>208.51999999999998</v>
      </c>
      <c r="I33" s="26">
        <f t="shared" si="15"/>
        <v>256.90999999999997</v>
      </c>
      <c r="J33" s="26">
        <f t="shared" si="15"/>
        <v>305.29999999999995</v>
      </c>
    </row>
    <row r="34" spans="1:11" x14ac:dyDescent="0.3">
      <c r="C34" s="75"/>
      <c r="D34" s="75"/>
      <c r="E34" s="75"/>
      <c r="F34" s="75"/>
      <c r="G34" s="76"/>
      <c r="H34" s="76"/>
      <c r="I34" s="76"/>
      <c r="J34" s="76"/>
    </row>
    <row r="35" spans="1:11" x14ac:dyDescent="0.3">
      <c r="A35" s="34" t="s">
        <v>216</v>
      </c>
      <c r="C35" s="37">
        <v>308.14999999999998</v>
      </c>
      <c r="D35" s="37">
        <v>340.29</v>
      </c>
      <c r="E35" s="37">
        <v>338.23</v>
      </c>
      <c r="F35" s="37">
        <v>556.16999999999996</v>
      </c>
      <c r="G35" s="26">
        <f>G28-G33</f>
        <v>507.78</v>
      </c>
      <c r="H35" s="26">
        <f t="shared" ref="H35:J35" si="16">H28-H33</f>
        <v>459.39</v>
      </c>
      <c r="I35" s="26">
        <f t="shared" si="16"/>
        <v>411</v>
      </c>
      <c r="J35" s="26">
        <f t="shared" si="16"/>
        <v>362.61</v>
      </c>
    </row>
    <row r="37" spans="1:11" x14ac:dyDescent="0.3">
      <c r="A37" s="34" t="s">
        <v>227</v>
      </c>
      <c r="B37" s="34" t="s">
        <v>230</v>
      </c>
      <c r="C37" s="4">
        <f>C28/C31</f>
        <v>17.873039959534651</v>
      </c>
      <c r="D37" s="4">
        <f t="shared" ref="D37:F37" si="17">D28/D31</f>
        <v>17.526561043802424</v>
      </c>
      <c r="E37" s="4">
        <f t="shared" si="17"/>
        <v>14.555273649873142</v>
      </c>
      <c r="F37" s="4">
        <f t="shared" si="17"/>
        <v>13.802645174622855</v>
      </c>
      <c r="G37" s="26">
        <f>Assumption!G41</f>
        <v>13.802645174622855</v>
      </c>
      <c r="H37" s="26">
        <f>Assumption!H41</f>
        <v>13.802645174622855</v>
      </c>
      <c r="I37" s="26">
        <f>Assumption!I41</f>
        <v>13.802645174622855</v>
      </c>
      <c r="J37" s="26">
        <f>Assumption!J41</f>
        <v>13.802645174622855</v>
      </c>
    </row>
    <row r="38" spans="1:11" x14ac:dyDescent="0.3">
      <c r="A38" s="34" t="s">
        <v>228</v>
      </c>
      <c r="B38" s="34" t="s">
        <v>231</v>
      </c>
      <c r="C38" s="4">
        <f>C33/C31</f>
        <v>2.2862923621648963</v>
      </c>
      <c r="D38" s="4">
        <f t="shared" ref="D38:F38" si="18">D33/D31</f>
        <v>1.6696178937558246</v>
      </c>
      <c r="E38" s="4">
        <f t="shared" si="18"/>
        <v>2.2961217832548027</v>
      </c>
      <c r="F38" s="4">
        <f t="shared" si="18"/>
        <v>2.3091547840462905</v>
      </c>
      <c r="G38" s="26">
        <f t="shared" ref="G38:J38" si="19">G33/G31</f>
        <v>3.3091547840462905</v>
      </c>
      <c r="H38" s="26">
        <f t="shared" si="19"/>
        <v>4.3091547840462905</v>
      </c>
      <c r="I38" s="26">
        <f t="shared" si="19"/>
        <v>5.3091547840462896</v>
      </c>
      <c r="J38" s="26">
        <f t="shared" si="19"/>
        <v>6.3091547840462896</v>
      </c>
    </row>
    <row r="39" spans="1:11" x14ac:dyDescent="0.3">
      <c r="A39" s="34" t="s">
        <v>229</v>
      </c>
      <c r="B39" s="34" t="s">
        <v>232</v>
      </c>
      <c r="C39" s="4">
        <f>C35/C31</f>
        <v>15.586747597369751</v>
      </c>
      <c r="D39" s="4">
        <f t="shared" ref="D39:F39" si="20">D35/D31</f>
        <v>15.856943150046598</v>
      </c>
      <c r="E39" s="4">
        <f t="shared" si="20"/>
        <v>12.259151866618341</v>
      </c>
      <c r="F39" s="4">
        <f t="shared" si="20"/>
        <v>11.493490390576564</v>
      </c>
      <c r="G39" s="26">
        <f t="shared" ref="G39:J39" si="21">G35/G31</f>
        <v>10.493490390576564</v>
      </c>
      <c r="H39" s="26">
        <f t="shared" si="21"/>
        <v>9.4934903905765644</v>
      </c>
      <c r="I39" s="26">
        <f t="shared" si="21"/>
        <v>8.4934903905765662</v>
      </c>
      <c r="J39" s="26">
        <f t="shared" si="21"/>
        <v>7.4934903905765653</v>
      </c>
    </row>
    <row r="41" spans="1:11" s="2" customFormat="1" x14ac:dyDescent="0.3">
      <c r="A41" s="56" t="s">
        <v>222</v>
      </c>
      <c r="B41" s="56"/>
      <c r="C41" s="31"/>
      <c r="D41" s="31"/>
      <c r="E41" s="31"/>
      <c r="F41" s="31"/>
      <c r="G41" s="32"/>
      <c r="H41" s="32"/>
      <c r="I41" s="32"/>
      <c r="J41" s="32"/>
    </row>
    <row r="42" spans="1:11" x14ac:dyDescent="0.3">
      <c r="A42" s="34" t="s">
        <v>212</v>
      </c>
      <c r="C42" s="75">
        <v>1774.05</v>
      </c>
      <c r="D42" s="75">
        <v>2205.14</v>
      </c>
      <c r="E42" s="75">
        <v>2807.13</v>
      </c>
      <c r="F42" s="75">
        <v>3777.7</v>
      </c>
      <c r="G42" s="79">
        <v>5649.73</v>
      </c>
      <c r="H42" s="26">
        <f>G46</f>
        <v>6209.73</v>
      </c>
      <c r="I42" s="26">
        <f t="shared" ref="I42:J42" si="22">H46</f>
        <v>6769.73</v>
      </c>
      <c r="J42" s="26">
        <f t="shared" si="22"/>
        <v>7329.73</v>
      </c>
    </row>
    <row r="43" spans="1:11" x14ac:dyDescent="0.3">
      <c r="A43" s="34" t="s">
        <v>213</v>
      </c>
      <c r="C43" s="37">
        <v>463.73</v>
      </c>
      <c r="D43" s="37">
        <v>730.83</v>
      </c>
      <c r="E43" s="75">
        <v>1011.54</v>
      </c>
      <c r="F43" s="75">
        <v>2068.56</v>
      </c>
      <c r="G43" s="26">
        <f>G60*'Revenue Model'!G13</f>
        <v>560</v>
      </c>
      <c r="H43" s="26">
        <f>H60*'Revenue Model'!H13</f>
        <v>560</v>
      </c>
      <c r="I43" s="26">
        <f>I60*'Revenue Model'!I13</f>
        <v>560</v>
      </c>
      <c r="J43" s="26">
        <f>J60*'Revenue Model'!J13</f>
        <v>1400</v>
      </c>
    </row>
    <row r="44" spans="1:11" x14ac:dyDescent="0.3">
      <c r="A44" s="34" t="s">
        <v>214</v>
      </c>
      <c r="C44" s="37">
        <v>-32.64</v>
      </c>
      <c r="D44" s="37">
        <v>-128.84</v>
      </c>
      <c r="E44" s="37">
        <v>-21.78</v>
      </c>
      <c r="F44" s="37">
        <v>-196.53</v>
      </c>
      <c r="G44" s="26">
        <v>0</v>
      </c>
      <c r="H44" s="26">
        <v>0</v>
      </c>
      <c r="I44" s="26">
        <v>0</v>
      </c>
      <c r="J44" s="26">
        <v>0</v>
      </c>
    </row>
    <row r="45" spans="1:11" x14ac:dyDescent="0.3">
      <c r="A45" s="34" t="s">
        <v>223</v>
      </c>
      <c r="C45" s="4" t="s">
        <v>11</v>
      </c>
      <c r="D45" s="4" t="s">
        <v>11</v>
      </c>
      <c r="E45" s="37">
        <v>-19.190000000000001</v>
      </c>
      <c r="F45" s="4" t="s">
        <v>11</v>
      </c>
    </row>
    <row r="46" spans="1:11" x14ac:dyDescent="0.3">
      <c r="A46" s="34" t="s">
        <v>215</v>
      </c>
      <c r="C46" s="75">
        <v>2205.14</v>
      </c>
      <c r="D46" s="75">
        <v>2807.13</v>
      </c>
      <c r="E46" s="75">
        <v>3777.7</v>
      </c>
      <c r="F46" s="75">
        <v>5649.73</v>
      </c>
      <c r="G46" s="26">
        <f>G42+G43+G44+G45</f>
        <v>6209.73</v>
      </c>
      <c r="H46" s="26">
        <f t="shared" ref="H46:J46" si="23">H42+H43+H44+H45</f>
        <v>6769.73</v>
      </c>
      <c r="I46" s="26">
        <f t="shared" si="23"/>
        <v>7329.73</v>
      </c>
      <c r="J46" s="26">
        <f t="shared" si="23"/>
        <v>8729.73</v>
      </c>
    </row>
    <row r="47" spans="1:11" x14ac:dyDescent="0.3">
      <c r="C47" s="75"/>
      <c r="D47" s="75"/>
      <c r="E47" s="75"/>
      <c r="F47" s="75"/>
    </row>
    <row r="48" spans="1:11" x14ac:dyDescent="0.3">
      <c r="A48" s="34" t="s">
        <v>220</v>
      </c>
      <c r="C48" s="37">
        <v>576.91999999999996</v>
      </c>
      <c r="D48" s="37">
        <v>733.03</v>
      </c>
      <c r="E48" s="37">
        <v>870.47</v>
      </c>
      <c r="F48" s="75">
        <v>1246.17</v>
      </c>
      <c r="G48" s="79">
        <v>1645.45</v>
      </c>
      <c r="H48" s="26">
        <f>G52</f>
        <v>2210.4229999999998</v>
      </c>
      <c r="I48" s="26">
        <f t="shared" ref="I48:J48" si="24">H52</f>
        <v>2831.3959999999997</v>
      </c>
      <c r="J48" s="26">
        <f t="shared" si="24"/>
        <v>3508.3689999999997</v>
      </c>
      <c r="K48" s="77"/>
    </row>
    <row r="49" spans="1:10" x14ac:dyDescent="0.3">
      <c r="A49" s="34" t="s">
        <v>217</v>
      </c>
      <c r="C49" s="37">
        <v>182.18</v>
      </c>
      <c r="D49" s="37">
        <v>263.89</v>
      </c>
      <c r="E49" s="37">
        <v>395.88</v>
      </c>
      <c r="F49" s="37">
        <v>582.83000000000004</v>
      </c>
      <c r="G49" s="26">
        <f>G42/G56</f>
        <v>564.97299999999996</v>
      </c>
      <c r="H49" s="26">
        <f t="shared" ref="H49:J49" si="25">H42/H56</f>
        <v>620.97299999999996</v>
      </c>
      <c r="I49" s="26">
        <f t="shared" si="25"/>
        <v>676.97299999999996</v>
      </c>
      <c r="J49" s="26">
        <f t="shared" si="25"/>
        <v>732.97299999999996</v>
      </c>
    </row>
    <row r="50" spans="1:10" x14ac:dyDescent="0.3">
      <c r="A50" s="34" t="s">
        <v>219</v>
      </c>
      <c r="C50" s="37">
        <v>-26.07</v>
      </c>
      <c r="D50" s="37">
        <v>-126.45</v>
      </c>
      <c r="E50" s="37">
        <v>-18.91</v>
      </c>
      <c r="F50" s="37">
        <v>-183.55</v>
      </c>
      <c r="G50" s="26">
        <v>0</v>
      </c>
      <c r="H50" s="26">
        <v>0</v>
      </c>
      <c r="I50" s="26">
        <v>0</v>
      </c>
      <c r="J50" s="26">
        <v>0</v>
      </c>
    </row>
    <row r="51" spans="1:10" x14ac:dyDescent="0.3">
      <c r="A51" s="34" t="s">
        <v>223</v>
      </c>
      <c r="C51" s="4" t="s">
        <v>11</v>
      </c>
      <c r="D51" s="4" t="s">
        <v>11</v>
      </c>
      <c r="E51" s="37">
        <v>-1.27</v>
      </c>
      <c r="F51" s="4" t="s">
        <v>11</v>
      </c>
    </row>
    <row r="52" spans="1:10" x14ac:dyDescent="0.3">
      <c r="A52" s="34" t="s">
        <v>221</v>
      </c>
      <c r="C52" s="37">
        <v>733.03</v>
      </c>
      <c r="D52" s="37">
        <v>870.47</v>
      </c>
      <c r="E52" s="75">
        <v>1246.17</v>
      </c>
      <c r="F52" s="75">
        <v>1645.45</v>
      </c>
      <c r="G52" s="26">
        <f>G48+G49+G50</f>
        <v>2210.4229999999998</v>
      </c>
      <c r="H52" s="26">
        <f t="shared" ref="H52:J52" si="26">H48+H49+H50</f>
        <v>2831.3959999999997</v>
      </c>
      <c r="I52" s="26">
        <f t="shared" si="26"/>
        <v>3508.3689999999997</v>
      </c>
      <c r="J52" s="26">
        <f t="shared" si="26"/>
        <v>4241.3419999999996</v>
      </c>
    </row>
    <row r="53" spans="1:10" x14ac:dyDescent="0.3">
      <c r="C53" s="75"/>
      <c r="D53" s="75"/>
      <c r="E53" s="75"/>
      <c r="F53" s="75"/>
    </row>
    <row r="54" spans="1:10" x14ac:dyDescent="0.3">
      <c r="A54" s="34" t="s">
        <v>216</v>
      </c>
      <c r="C54" s="75">
        <v>1472.11</v>
      </c>
      <c r="D54" s="75">
        <v>1936.66</v>
      </c>
      <c r="E54" s="75">
        <v>2531.5300000000002</v>
      </c>
      <c r="F54" s="75">
        <v>4004.28</v>
      </c>
      <c r="G54" s="26">
        <f>G46-G52</f>
        <v>3999.3069999999998</v>
      </c>
      <c r="H54" s="26">
        <f t="shared" ref="H54:J54" si="27">H46-H52</f>
        <v>3938.3339999999998</v>
      </c>
      <c r="I54" s="26">
        <f t="shared" si="27"/>
        <v>3821.3609999999999</v>
      </c>
      <c r="J54" s="26">
        <f t="shared" si="27"/>
        <v>4488.3879999999999</v>
      </c>
    </row>
    <row r="56" spans="1:10" x14ac:dyDescent="0.3">
      <c r="A56" s="34" t="s">
        <v>227</v>
      </c>
      <c r="B56" s="34" t="s">
        <v>230</v>
      </c>
      <c r="C56" s="4">
        <f>C46/C49</f>
        <v>12.104182676473815</v>
      </c>
      <c r="D56" s="4">
        <f t="shared" ref="D56:F56" si="28">D46/D49</f>
        <v>10.637500473682216</v>
      </c>
      <c r="E56" s="4">
        <f t="shared" si="28"/>
        <v>9.5425381428715763</v>
      </c>
      <c r="F56" s="4">
        <f t="shared" si="28"/>
        <v>9.6936156340613895</v>
      </c>
      <c r="G56" s="26">
        <f>Assumption!G44</f>
        <v>10</v>
      </c>
      <c r="H56" s="26">
        <f>Assumption!H44</f>
        <v>10</v>
      </c>
      <c r="I56" s="26">
        <f>Assumption!I44</f>
        <v>10</v>
      </c>
      <c r="J56" s="26">
        <f>Assumption!J44</f>
        <v>10</v>
      </c>
    </row>
    <row r="57" spans="1:10" x14ac:dyDescent="0.3">
      <c r="A57" s="34" t="s">
        <v>228</v>
      </c>
      <c r="B57" s="34" t="s">
        <v>231</v>
      </c>
      <c r="C57" s="4">
        <f>C52/C49</f>
        <v>4.0236579207377314</v>
      </c>
      <c r="D57" s="4">
        <f t="shared" ref="D57:F57" si="29">D52/D49</f>
        <v>3.2986092690136046</v>
      </c>
      <c r="E57" s="4">
        <f t="shared" si="29"/>
        <v>3.1478478326765691</v>
      </c>
      <c r="F57" s="4">
        <f t="shared" si="29"/>
        <v>2.8232074532882656</v>
      </c>
      <c r="G57" s="26">
        <f t="shared" ref="G57:J57" si="30">G52/G49</f>
        <v>3.9124400635074594</v>
      </c>
      <c r="H57" s="26">
        <f t="shared" si="30"/>
        <v>4.559612092635267</v>
      </c>
      <c r="I57" s="26">
        <f t="shared" si="30"/>
        <v>5.182435636280915</v>
      </c>
      <c r="J57" s="26">
        <f t="shared" si="30"/>
        <v>5.7864914533004628</v>
      </c>
    </row>
    <row r="58" spans="1:10" x14ac:dyDescent="0.3">
      <c r="A58" s="34" t="s">
        <v>229</v>
      </c>
      <c r="B58" s="34" t="s">
        <v>232</v>
      </c>
      <c r="C58" s="4">
        <f>C54/C49</f>
        <v>8.080524755736084</v>
      </c>
      <c r="D58" s="4">
        <f t="shared" ref="D58:F58" si="31">D54/D49</f>
        <v>7.338891204668613</v>
      </c>
      <c r="E58" s="4">
        <f t="shared" si="31"/>
        <v>6.394690310195009</v>
      </c>
      <c r="F58" s="4">
        <f t="shared" si="31"/>
        <v>6.8704081807731239</v>
      </c>
      <c r="G58" s="26">
        <f t="shared" ref="G58:J58" si="32">G54/G49</f>
        <v>7.0787577459453814</v>
      </c>
      <c r="H58" s="26">
        <f t="shared" si="32"/>
        <v>6.3421984530728395</v>
      </c>
      <c r="I58" s="26">
        <f t="shared" si="32"/>
        <v>5.6447760841274324</v>
      </c>
      <c r="J58" s="26">
        <f t="shared" si="32"/>
        <v>6.1235379747957976</v>
      </c>
    </row>
    <row r="60" spans="1:10" x14ac:dyDescent="0.3">
      <c r="A60" s="34" t="s">
        <v>239</v>
      </c>
      <c r="C60" s="4">
        <f>C43/'Revenue Model'!C13</f>
        <v>77.288333333333341</v>
      </c>
      <c r="D60" s="4">
        <f>D43/'Revenue Model'!D13</f>
        <v>104.40428571428572</v>
      </c>
      <c r="E60" s="4">
        <f>E43/'Revenue Model'!E13</f>
        <v>101.154</v>
      </c>
      <c r="F60" s="4">
        <f>F43/'Revenue Model'!F13</f>
        <v>76.61333333333333</v>
      </c>
      <c r="G60" s="26">
        <f>Assumption!G45</f>
        <v>70</v>
      </c>
      <c r="H60" s="26">
        <f>Assumption!H45</f>
        <v>70</v>
      </c>
      <c r="I60" s="26">
        <f>Assumption!I45</f>
        <v>70</v>
      </c>
      <c r="J60" s="26">
        <f>Assumption!J45</f>
        <v>70</v>
      </c>
    </row>
    <row r="62" spans="1:10" s="2" customFormat="1" x14ac:dyDescent="0.3">
      <c r="A62" s="56" t="s">
        <v>224</v>
      </c>
      <c r="B62" s="56"/>
      <c r="C62" s="31"/>
      <c r="D62" s="31"/>
      <c r="E62" s="31"/>
      <c r="F62" s="31"/>
      <c r="G62" s="32"/>
      <c r="H62" s="32"/>
      <c r="I62" s="32"/>
      <c r="J62" s="32"/>
    </row>
    <row r="63" spans="1:10" x14ac:dyDescent="0.3">
      <c r="A63" s="34" t="s">
        <v>212</v>
      </c>
      <c r="C63" s="37">
        <v>240.76</v>
      </c>
      <c r="D63" s="37">
        <v>451.85</v>
      </c>
      <c r="E63" s="37">
        <v>555.05999999999995</v>
      </c>
      <c r="F63" s="37">
        <v>776.72</v>
      </c>
      <c r="G63" s="79">
        <v>1175.74</v>
      </c>
      <c r="H63" s="26">
        <f>IS!H4*'Capex Schedule'!H79</f>
        <v>1394.0474648520872</v>
      </c>
      <c r="I63" s="26">
        <f>IS!I4*'Capex Schedule'!I79</f>
        <v>1563.2621245246073</v>
      </c>
      <c r="J63" s="26">
        <f>IS!J4*'Capex Schedule'!J79</f>
        <v>1770.2543565195317</v>
      </c>
    </row>
    <row r="64" spans="1:10" x14ac:dyDescent="0.3">
      <c r="A64" s="34" t="s">
        <v>213</v>
      </c>
      <c r="C64" s="37">
        <v>214.13</v>
      </c>
      <c r="D64" s="37">
        <v>223.4</v>
      </c>
      <c r="E64" s="37">
        <v>264.38</v>
      </c>
      <c r="F64" s="37">
        <v>494.01</v>
      </c>
      <c r="G64" s="26">
        <f>H63-G63</f>
        <v>218.30746485208715</v>
      </c>
      <c r="H64" s="26">
        <f t="shared" ref="H64:I64" si="33">I63-H63</f>
        <v>169.21465967252016</v>
      </c>
      <c r="I64" s="26">
        <f t="shared" si="33"/>
        <v>206.9922319949244</v>
      </c>
      <c r="J64" s="26">
        <f>I64</f>
        <v>206.9922319949244</v>
      </c>
    </row>
    <row r="65" spans="1:10" x14ac:dyDescent="0.3">
      <c r="A65" s="34" t="s">
        <v>214</v>
      </c>
      <c r="C65" s="37">
        <v>-3.04</v>
      </c>
      <c r="D65" s="37">
        <v>-120.19</v>
      </c>
      <c r="E65" s="37">
        <v>-42.72</v>
      </c>
      <c r="F65" s="37">
        <v>-94.99</v>
      </c>
      <c r="G65" s="26">
        <v>0</v>
      </c>
      <c r="H65" s="26">
        <v>0</v>
      </c>
      <c r="I65" s="26">
        <v>0</v>
      </c>
      <c r="J65" s="26">
        <v>0</v>
      </c>
    </row>
    <row r="66" spans="1:10" x14ac:dyDescent="0.3">
      <c r="A66" s="34" t="s">
        <v>215</v>
      </c>
      <c r="C66" s="37">
        <v>451.85</v>
      </c>
      <c r="D66" s="37">
        <v>555.05999999999995</v>
      </c>
      <c r="E66" s="37">
        <v>776.72</v>
      </c>
      <c r="F66" s="75">
        <v>1175.74</v>
      </c>
      <c r="G66" s="26">
        <f>G63+G64-G65</f>
        <v>1394.0474648520872</v>
      </c>
      <c r="H66" s="26">
        <f t="shared" ref="H66:J66" si="34">H63+H64-H65</f>
        <v>1563.2621245246073</v>
      </c>
      <c r="I66" s="26">
        <f t="shared" si="34"/>
        <v>1770.2543565195317</v>
      </c>
      <c r="J66" s="26">
        <f t="shared" si="34"/>
        <v>1977.2465885144561</v>
      </c>
    </row>
    <row r="67" spans="1:10" x14ac:dyDescent="0.3">
      <c r="C67" s="75"/>
      <c r="D67" s="75"/>
      <c r="E67" s="75"/>
      <c r="F67" s="75"/>
    </row>
    <row r="68" spans="1:10" x14ac:dyDescent="0.3">
      <c r="A68" s="34" t="s">
        <v>220</v>
      </c>
      <c r="C68" s="37">
        <v>168.57</v>
      </c>
      <c r="D68" s="37">
        <v>240.37</v>
      </c>
      <c r="E68" s="37">
        <v>244.43</v>
      </c>
      <c r="F68" s="37">
        <v>390.64</v>
      </c>
      <c r="G68" s="80">
        <v>551.25</v>
      </c>
      <c r="H68" s="26">
        <f>G71</f>
        <v>786.39800000000002</v>
      </c>
      <c r="I68" s="26">
        <f t="shared" ref="I68:J68" si="35">H71</f>
        <v>1065.2074929704174</v>
      </c>
      <c r="J68" s="26">
        <f t="shared" si="35"/>
        <v>1377.8599178753389</v>
      </c>
    </row>
    <row r="69" spans="1:10" x14ac:dyDescent="0.3">
      <c r="A69" s="34" t="s">
        <v>217</v>
      </c>
      <c r="C69" s="37">
        <v>74.3</v>
      </c>
      <c r="D69" s="37">
        <v>111.17</v>
      </c>
      <c r="E69" s="37">
        <v>163.25</v>
      </c>
      <c r="F69" s="37">
        <v>216.93</v>
      </c>
      <c r="G69" s="26">
        <f>G63/G75</f>
        <v>235.148</v>
      </c>
      <c r="H69" s="26">
        <f t="shared" ref="H69:J69" si="36">H63/H75</f>
        <v>278.80949297041741</v>
      </c>
      <c r="I69" s="26">
        <f t="shared" si="36"/>
        <v>312.65242490492147</v>
      </c>
      <c r="J69" s="26">
        <f t="shared" si="36"/>
        <v>354.05087130390632</v>
      </c>
    </row>
    <row r="70" spans="1:10" x14ac:dyDescent="0.3">
      <c r="A70" s="34" t="s">
        <v>219</v>
      </c>
      <c r="C70" s="37">
        <v>-2.5</v>
      </c>
      <c r="D70" s="37">
        <v>-107.11</v>
      </c>
      <c r="E70" s="37">
        <v>-17.04</v>
      </c>
      <c r="F70" s="37">
        <v>-56.32</v>
      </c>
      <c r="G70" s="26">
        <v>0</v>
      </c>
      <c r="H70" s="26">
        <v>0</v>
      </c>
      <c r="I70" s="26">
        <v>0</v>
      </c>
      <c r="J70" s="26">
        <v>0</v>
      </c>
    </row>
    <row r="71" spans="1:10" x14ac:dyDescent="0.3">
      <c r="A71" s="34" t="s">
        <v>221</v>
      </c>
      <c r="C71" s="37">
        <v>240.37</v>
      </c>
      <c r="D71" s="37">
        <v>244.43</v>
      </c>
      <c r="E71" s="37">
        <v>390.64</v>
      </c>
      <c r="F71" s="37">
        <v>551.25</v>
      </c>
      <c r="G71" s="26">
        <f>G68+G69-G70</f>
        <v>786.39800000000002</v>
      </c>
      <c r="H71" s="26">
        <f t="shared" ref="H71:J71" si="37">H68+H69-H70</f>
        <v>1065.2074929704174</v>
      </c>
      <c r="I71" s="26">
        <f t="shared" si="37"/>
        <v>1377.8599178753389</v>
      </c>
      <c r="J71" s="26">
        <f t="shared" si="37"/>
        <v>1731.9107891792451</v>
      </c>
    </row>
    <row r="72" spans="1:10" x14ac:dyDescent="0.3">
      <c r="C72" s="75"/>
      <c r="D72" s="75"/>
      <c r="E72" s="75"/>
      <c r="F72" s="75"/>
    </row>
    <row r="73" spans="1:10" x14ac:dyDescent="0.3">
      <c r="A73" s="34" t="s">
        <v>216</v>
      </c>
      <c r="C73" s="37">
        <v>211.48</v>
      </c>
      <c r="D73" s="37">
        <v>310.63</v>
      </c>
      <c r="E73" s="37">
        <v>386.08</v>
      </c>
      <c r="F73" s="37">
        <v>624.49</v>
      </c>
      <c r="G73" s="26">
        <f>G66-G71</f>
        <v>607.64946485208714</v>
      </c>
      <c r="H73" s="26">
        <f t="shared" ref="H73:J73" si="38">H66-H71</f>
        <v>498.05463155418988</v>
      </c>
      <c r="I73" s="26">
        <f t="shared" si="38"/>
        <v>392.39443864419286</v>
      </c>
      <c r="J73" s="26">
        <f t="shared" si="38"/>
        <v>245.33579933521105</v>
      </c>
    </row>
    <row r="75" spans="1:10" x14ac:dyDescent="0.3">
      <c r="A75" s="34" t="s">
        <v>227</v>
      </c>
      <c r="B75" s="34" t="s">
        <v>230</v>
      </c>
      <c r="C75" s="4">
        <f>C66/C69</f>
        <v>6.0814266487214006</v>
      </c>
      <c r="D75" s="4">
        <f t="shared" ref="D75:F75" si="39">D66/D69</f>
        <v>4.9928937663038582</v>
      </c>
      <c r="E75" s="4">
        <f t="shared" si="39"/>
        <v>4.7578560490045945</v>
      </c>
      <c r="F75" s="4">
        <f t="shared" si="39"/>
        <v>5.4199050384916792</v>
      </c>
      <c r="G75" s="26">
        <f>Assumption!G48</f>
        <v>5</v>
      </c>
      <c r="H75" s="26">
        <f>Assumption!H48</f>
        <v>5</v>
      </c>
      <c r="I75" s="26">
        <f>Assumption!I48</f>
        <v>5</v>
      </c>
      <c r="J75" s="26">
        <f>Assumption!J48</f>
        <v>5</v>
      </c>
    </row>
    <row r="76" spans="1:10" x14ac:dyDescent="0.3">
      <c r="A76" s="34" t="s">
        <v>228</v>
      </c>
      <c r="B76" s="34" t="s">
        <v>231</v>
      </c>
      <c r="C76" s="4">
        <f>C71/C69</f>
        <v>3.235127860026918</v>
      </c>
      <c r="D76" s="4">
        <f t="shared" ref="D76:F76" si="40">D71/D69</f>
        <v>2.1987046865161464</v>
      </c>
      <c r="E76" s="4">
        <f t="shared" si="40"/>
        <v>2.3928943338437976</v>
      </c>
      <c r="F76" s="4">
        <f t="shared" si="40"/>
        <v>2.5411423039690222</v>
      </c>
      <c r="G76" s="26">
        <f t="shared" ref="G76:J76" si="41">G71/G69</f>
        <v>3.344268290608468</v>
      </c>
      <c r="H76" s="26">
        <f t="shared" si="41"/>
        <v>3.8205567594624168</v>
      </c>
      <c r="I76" s="26">
        <f t="shared" si="41"/>
        <v>4.4070021791590142</v>
      </c>
      <c r="J76" s="26">
        <f t="shared" si="41"/>
        <v>4.891700401134238</v>
      </c>
    </row>
    <row r="77" spans="1:10" x14ac:dyDescent="0.3">
      <c r="A77" s="34" t="s">
        <v>229</v>
      </c>
      <c r="B77" s="34" t="s">
        <v>232</v>
      </c>
      <c r="C77" s="4">
        <f>C73/C69</f>
        <v>2.8462987886944817</v>
      </c>
      <c r="D77" s="4">
        <f t="shared" ref="D77:F77" si="42">D73/D69</f>
        <v>2.7941890797877122</v>
      </c>
      <c r="E77" s="4">
        <f t="shared" si="42"/>
        <v>2.364961715160796</v>
      </c>
      <c r="F77" s="4">
        <f t="shared" si="42"/>
        <v>2.878762734522657</v>
      </c>
      <c r="G77" s="26">
        <f t="shared" ref="G77:J77" si="43">G73/G69</f>
        <v>2.5841149610121588</v>
      </c>
      <c r="H77" s="26">
        <f t="shared" si="43"/>
        <v>1.7863618137530026</v>
      </c>
      <c r="I77" s="26">
        <f t="shared" si="43"/>
        <v>1.25505004083535</v>
      </c>
      <c r="J77" s="26">
        <f t="shared" si="43"/>
        <v>0.69293940283689459</v>
      </c>
    </row>
    <row r="79" spans="1:10" x14ac:dyDescent="0.3">
      <c r="A79" s="34" t="s">
        <v>233</v>
      </c>
      <c r="C79" s="24">
        <f>C63/IS!C4</f>
        <v>4.1705663956907143E-3</v>
      </c>
      <c r="D79" s="24">
        <f>D63/IS!D4</f>
        <v>5.7302560435907816E-3</v>
      </c>
      <c r="E79" s="24">
        <f>E63/IS!E4</f>
        <v>5.5562000940748172E-3</v>
      </c>
      <c r="F79" s="24">
        <f>F63/IS!F4</f>
        <v>6.2056821876100314E-3</v>
      </c>
      <c r="G79" s="27">
        <f>G63/IS!G4</f>
        <v>6.3382288785659479E-3</v>
      </c>
      <c r="H79" s="27">
        <f>Assumption!H49</f>
        <v>5.8382288785659483E-3</v>
      </c>
      <c r="I79" s="27">
        <f>Assumption!I49</f>
        <v>5.3382288785659478E-3</v>
      </c>
      <c r="J79" s="27">
        <f>Assumption!J49</f>
        <v>4.8382288785659474E-3</v>
      </c>
    </row>
    <row r="82" spans="1:10" x14ac:dyDescent="0.3">
      <c r="A82" s="56" t="s">
        <v>244</v>
      </c>
      <c r="B82" s="57"/>
      <c r="C82" s="83"/>
      <c r="D82" s="83"/>
      <c r="E82" s="83"/>
      <c r="F82" s="83"/>
      <c r="G82" s="53"/>
      <c r="H82" s="53"/>
      <c r="I82" s="53"/>
      <c r="J82" s="53"/>
    </row>
    <row r="83" spans="1:10" x14ac:dyDescent="0.3">
      <c r="A83" s="34" t="s">
        <v>212</v>
      </c>
      <c r="C83" s="37">
        <v>296.74</v>
      </c>
      <c r="D83" s="37">
        <v>443.03</v>
      </c>
      <c r="E83" s="37">
        <v>921.96</v>
      </c>
      <c r="F83" s="37">
        <v>892.97</v>
      </c>
      <c r="G83" s="79">
        <v>1240.0999999999999</v>
      </c>
      <c r="H83" s="26">
        <f>G86</f>
        <v>1763.6212486772486</v>
      </c>
      <c r="I83" s="26">
        <f t="shared" ref="I83:J83" si="44">H86</f>
        <v>2287.1424973544972</v>
      </c>
      <c r="J83" s="26">
        <f t="shared" si="44"/>
        <v>2810.6637460317461</v>
      </c>
    </row>
    <row r="84" spans="1:10" x14ac:dyDescent="0.3">
      <c r="A84" s="34" t="s">
        <v>213</v>
      </c>
      <c r="C84" s="37">
        <v>202.03</v>
      </c>
      <c r="D84" s="37">
        <v>608.91</v>
      </c>
      <c r="E84" s="75">
        <v>1136.17</v>
      </c>
      <c r="F84" s="37">
        <v>742.09</v>
      </c>
      <c r="G84" s="26">
        <f>G99*'Revenue Model'!G13</f>
        <v>523.52124867724865</v>
      </c>
      <c r="H84" s="26">
        <f>H99*'Revenue Model'!H13</f>
        <v>523.52124867724865</v>
      </c>
      <c r="I84" s="26">
        <f>I99*'Revenue Model'!I13</f>
        <v>523.52124867724865</v>
      </c>
      <c r="J84" s="26">
        <f>J99*'Revenue Model'!J13</f>
        <v>1308.8031216931217</v>
      </c>
    </row>
    <row r="85" spans="1:10" x14ac:dyDescent="0.3">
      <c r="A85" s="34" t="s">
        <v>214</v>
      </c>
      <c r="C85" s="37">
        <v>-55.74</v>
      </c>
      <c r="D85" s="37">
        <v>-129.97999999999999</v>
      </c>
      <c r="E85" s="75">
        <v>-1165.1600000000001</v>
      </c>
      <c r="F85" s="37">
        <v>-394.96</v>
      </c>
      <c r="G85" s="26">
        <v>0</v>
      </c>
      <c r="H85" s="26">
        <v>0</v>
      </c>
      <c r="I85" s="26">
        <v>0</v>
      </c>
      <c r="J85" s="26">
        <v>0</v>
      </c>
    </row>
    <row r="86" spans="1:10" x14ac:dyDescent="0.3">
      <c r="A86" s="34" t="s">
        <v>215</v>
      </c>
      <c r="C86" s="37">
        <v>443.03</v>
      </c>
      <c r="D86" s="37">
        <v>921.96</v>
      </c>
      <c r="E86" s="37">
        <v>892.97</v>
      </c>
      <c r="F86" s="75">
        <v>1240.0999999999999</v>
      </c>
      <c r="G86" s="26">
        <f>G83+G84+G85</f>
        <v>1763.6212486772486</v>
      </c>
      <c r="H86" s="26">
        <f t="shared" ref="H86:J86" si="45">H83+H84+H85</f>
        <v>2287.1424973544972</v>
      </c>
      <c r="I86" s="26">
        <f t="shared" si="45"/>
        <v>2810.6637460317461</v>
      </c>
      <c r="J86" s="26">
        <f t="shared" si="45"/>
        <v>4119.4668677248683</v>
      </c>
    </row>
    <row r="87" spans="1:10" x14ac:dyDescent="0.3">
      <c r="C87" s="75"/>
      <c r="D87" s="75"/>
      <c r="E87" s="75"/>
      <c r="F87" s="75"/>
      <c r="G87" s="76"/>
      <c r="H87" s="76"/>
      <c r="I87" s="76"/>
      <c r="J87" s="76"/>
    </row>
    <row r="88" spans="1:10" x14ac:dyDescent="0.3">
      <c r="A88" s="34" t="s">
        <v>220</v>
      </c>
      <c r="C88" s="37">
        <v>97.94</v>
      </c>
      <c r="D88" s="37">
        <v>116.61</v>
      </c>
      <c r="E88" s="37">
        <v>148.26</v>
      </c>
      <c r="F88" s="37">
        <v>118.7</v>
      </c>
      <c r="G88" s="80">
        <v>163.22</v>
      </c>
      <c r="H88" s="26">
        <f>G91</f>
        <v>287.23</v>
      </c>
      <c r="I88" s="26">
        <f t="shared" ref="I88:J88" si="46">H91</f>
        <v>463.59212486772486</v>
      </c>
      <c r="J88" s="26">
        <f t="shared" si="46"/>
        <v>692.30637460317462</v>
      </c>
    </row>
    <row r="89" spans="1:10" x14ac:dyDescent="0.3">
      <c r="A89" s="34" t="s">
        <v>217</v>
      </c>
      <c r="C89" s="37">
        <v>43.43</v>
      </c>
      <c r="D89" s="37">
        <v>80.989999999999995</v>
      </c>
      <c r="E89" s="37">
        <v>126</v>
      </c>
      <c r="F89" s="37">
        <v>120.86</v>
      </c>
      <c r="G89" s="26">
        <f>G83/G95</f>
        <v>124.00999999999999</v>
      </c>
      <c r="H89" s="26">
        <f t="shared" ref="H89:J89" si="47">H83/H95</f>
        <v>176.36212486772484</v>
      </c>
      <c r="I89" s="26">
        <f t="shared" si="47"/>
        <v>228.71424973544973</v>
      </c>
      <c r="J89" s="26">
        <f t="shared" si="47"/>
        <v>281.06637460317461</v>
      </c>
    </row>
    <row r="90" spans="1:10" x14ac:dyDescent="0.3">
      <c r="A90" s="34" t="s">
        <v>219</v>
      </c>
      <c r="C90" s="37">
        <v>-24.76</v>
      </c>
      <c r="D90" s="37">
        <v>-49.34</v>
      </c>
      <c r="E90" s="37">
        <v>-155.56</v>
      </c>
      <c r="F90" s="37">
        <v>-76.34</v>
      </c>
      <c r="G90" s="26">
        <v>0</v>
      </c>
      <c r="H90" s="26">
        <v>0</v>
      </c>
      <c r="I90" s="26">
        <v>0</v>
      </c>
      <c r="J90" s="26">
        <v>0</v>
      </c>
    </row>
    <row r="91" spans="1:10" x14ac:dyDescent="0.3">
      <c r="A91" s="34" t="s">
        <v>221</v>
      </c>
      <c r="C91" s="37">
        <v>116.61</v>
      </c>
      <c r="D91" s="37">
        <v>148.26</v>
      </c>
      <c r="E91" s="37">
        <v>118.7</v>
      </c>
      <c r="F91" s="37">
        <v>163.22</v>
      </c>
      <c r="G91" s="26">
        <f>G88+G89+G90</f>
        <v>287.23</v>
      </c>
      <c r="H91" s="26">
        <f t="shared" ref="H91:J91" si="48">H88+H89+H90</f>
        <v>463.59212486772486</v>
      </c>
      <c r="I91" s="26">
        <f t="shared" si="48"/>
        <v>692.30637460317462</v>
      </c>
      <c r="J91" s="26">
        <f t="shared" si="48"/>
        <v>973.37274920634923</v>
      </c>
    </row>
    <row r="92" spans="1:10" x14ac:dyDescent="0.3">
      <c r="C92" s="75"/>
      <c r="D92" s="75"/>
      <c r="E92" s="75"/>
      <c r="F92" s="75"/>
      <c r="G92" s="76"/>
      <c r="H92" s="76"/>
      <c r="I92" s="76"/>
      <c r="J92" s="76"/>
    </row>
    <row r="93" spans="1:10" x14ac:dyDescent="0.3">
      <c r="A93" s="34" t="s">
        <v>216</v>
      </c>
      <c r="C93" s="37">
        <v>326.42</v>
      </c>
      <c r="D93" s="37">
        <v>773.7</v>
      </c>
      <c r="E93" s="37">
        <v>774.27</v>
      </c>
      <c r="F93" s="75">
        <v>1076.8800000000001</v>
      </c>
      <c r="G93" s="76">
        <f>G86-G91</f>
        <v>1476.3912486772485</v>
      </c>
      <c r="H93" s="76">
        <f t="shared" ref="H93:J93" si="49">H86-H91</f>
        <v>1823.5503724867724</v>
      </c>
      <c r="I93" s="76">
        <f t="shared" si="49"/>
        <v>2118.3573714285712</v>
      </c>
      <c r="J93" s="76">
        <f t="shared" si="49"/>
        <v>3146.0941185185193</v>
      </c>
    </row>
    <row r="95" spans="1:10" x14ac:dyDescent="0.3">
      <c r="A95" s="34" t="s">
        <v>227</v>
      </c>
      <c r="B95" s="34" t="s">
        <v>230</v>
      </c>
      <c r="C95" s="4">
        <f>C86/C89</f>
        <v>10.20101312456827</v>
      </c>
      <c r="D95" s="4">
        <f t="shared" ref="D95:F95" si="50">D86/D89</f>
        <v>11.383627608346711</v>
      </c>
      <c r="E95" s="4">
        <f t="shared" si="50"/>
        <v>7.0870634920634918</v>
      </c>
      <c r="F95" s="4">
        <f t="shared" si="50"/>
        <v>10.260632136356113</v>
      </c>
      <c r="G95" s="26">
        <f>Assumption!G53</f>
        <v>10</v>
      </c>
      <c r="H95" s="26">
        <f>Assumption!H53</f>
        <v>10</v>
      </c>
      <c r="I95" s="26">
        <f>Assumption!I53</f>
        <v>10</v>
      </c>
      <c r="J95" s="26">
        <f>Assumption!J53</f>
        <v>10</v>
      </c>
    </row>
    <row r="96" spans="1:10" x14ac:dyDescent="0.3">
      <c r="A96" s="34" t="s">
        <v>228</v>
      </c>
      <c r="B96" s="34" t="s">
        <v>231</v>
      </c>
      <c r="C96" s="4">
        <f>C91/C89</f>
        <v>2.6850103615012664</v>
      </c>
      <c r="D96" s="4">
        <f t="shared" ref="D96:F96" si="51">D91/D89</f>
        <v>1.8305963699222125</v>
      </c>
      <c r="E96" s="4">
        <f t="shared" si="51"/>
        <v>0.94206349206349205</v>
      </c>
      <c r="F96" s="4">
        <f t="shared" si="51"/>
        <v>1.3504881681284131</v>
      </c>
      <c r="G96" s="26">
        <f t="shared" ref="G96:J96" si="52">G91/G89</f>
        <v>2.3161841786952668</v>
      </c>
      <c r="H96" s="26">
        <f t="shared" si="52"/>
        <v>2.62863766931493</v>
      </c>
      <c r="I96" s="26">
        <f t="shared" si="52"/>
        <v>3.026949022214203</v>
      </c>
      <c r="J96" s="26">
        <f t="shared" si="52"/>
        <v>3.4631419378451511</v>
      </c>
    </row>
    <row r="97" spans="1:12" x14ac:dyDescent="0.3">
      <c r="A97" s="34" t="s">
        <v>229</v>
      </c>
      <c r="B97" s="34" t="s">
        <v>232</v>
      </c>
      <c r="C97" s="4">
        <f>C93/C89</f>
        <v>7.5160027630670045</v>
      </c>
      <c r="D97" s="4">
        <f t="shared" ref="D97:F97" si="53">D93/D89</f>
        <v>9.5530312384244986</v>
      </c>
      <c r="E97" s="4">
        <f t="shared" si="53"/>
        <v>6.1449999999999996</v>
      </c>
      <c r="F97" s="4">
        <f t="shared" si="53"/>
        <v>8.9101439682277022</v>
      </c>
      <c r="G97" s="26">
        <f t="shared" ref="G97:J97" si="54">G93/G89</f>
        <v>11.905420923129173</v>
      </c>
      <c r="H97" s="26">
        <f t="shared" si="54"/>
        <v>10.339807222522818</v>
      </c>
      <c r="I97" s="26">
        <f t="shared" si="54"/>
        <v>9.2620261915418158</v>
      </c>
      <c r="J97" s="26">
        <f t="shared" si="54"/>
        <v>11.19342049706356</v>
      </c>
    </row>
    <row r="99" spans="1:12" x14ac:dyDescent="0.3">
      <c r="A99" s="34" t="s">
        <v>239</v>
      </c>
      <c r="C99" s="4">
        <f>C84/'Revenue Model'!C13</f>
        <v>33.671666666666667</v>
      </c>
      <c r="D99" s="4">
        <f>D84/'Revenue Model'!D13</f>
        <v>86.987142857142857</v>
      </c>
      <c r="E99" s="4">
        <f>E84/'Revenue Model'!E13</f>
        <v>113.617</v>
      </c>
      <c r="F99" s="4">
        <f>F84/'Revenue Model'!F13</f>
        <v>27.484814814814815</v>
      </c>
      <c r="G99" s="26">
        <f>Assumption!G54</f>
        <v>65.440156084656081</v>
      </c>
      <c r="H99" s="26">
        <f>Assumption!H54</f>
        <v>65.440156084656081</v>
      </c>
      <c r="I99" s="26">
        <f>Assumption!I54</f>
        <v>65.440156084656081</v>
      </c>
      <c r="J99" s="26">
        <f>Assumption!J54</f>
        <v>65.440156084656081</v>
      </c>
    </row>
    <row r="101" spans="1:12" s="2" customFormat="1" x14ac:dyDescent="0.3">
      <c r="A101" s="56" t="s">
        <v>243</v>
      </c>
      <c r="B101" s="56"/>
      <c r="C101" s="31"/>
      <c r="D101" s="31"/>
      <c r="E101" s="31"/>
      <c r="F101" s="31"/>
      <c r="G101" s="32"/>
      <c r="H101" s="32"/>
      <c r="I101" s="32"/>
      <c r="J101" s="32"/>
    </row>
    <row r="102" spans="1:12" x14ac:dyDescent="0.3">
      <c r="A102" s="34" t="s">
        <v>212</v>
      </c>
      <c r="C102" s="75">
        <v>5021.47</v>
      </c>
      <c r="D102" s="75">
        <v>6176.44</v>
      </c>
      <c r="E102" s="75">
        <v>8082.36</v>
      </c>
      <c r="F102" s="75">
        <v>10184.92</v>
      </c>
      <c r="G102" s="81">
        <f>G6+G25+G42+G63+G83</f>
        <v>14592.23</v>
      </c>
      <c r="H102" s="26">
        <f t="shared" ref="H102:J104" si="55">H6+H25+H42+H63+H83</f>
        <v>16488.858713529335</v>
      </c>
      <c r="I102" s="26">
        <f t="shared" si="55"/>
        <v>18336.394621879102</v>
      </c>
      <c r="J102" s="26">
        <f t="shared" si="55"/>
        <v>20221.708102551278</v>
      </c>
      <c r="L102" s="78"/>
    </row>
    <row r="103" spans="1:12" x14ac:dyDescent="0.3">
      <c r="A103" s="34" t="s">
        <v>213</v>
      </c>
      <c r="C103" s="75">
        <v>1369.16</v>
      </c>
      <c r="D103" s="75">
        <v>2550.17</v>
      </c>
      <c r="E103" s="75">
        <v>3459.38</v>
      </c>
      <c r="F103" s="75">
        <v>5578.46</v>
      </c>
      <c r="G103" s="26">
        <f>G7+G26+G43+G64+G84</f>
        <v>1896.6287135293358</v>
      </c>
      <c r="H103" s="26">
        <f t="shared" si="55"/>
        <v>1847.5359083497688</v>
      </c>
      <c r="I103" s="26">
        <f t="shared" si="55"/>
        <v>1885.313480672173</v>
      </c>
      <c r="J103" s="26">
        <f t="shared" si="55"/>
        <v>4402.7953536880468</v>
      </c>
    </row>
    <row r="104" spans="1:12" x14ac:dyDescent="0.3">
      <c r="A104" s="34" t="s">
        <v>214</v>
      </c>
      <c r="C104" s="37">
        <v>-214.19</v>
      </c>
      <c r="D104" s="37">
        <v>-644.25</v>
      </c>
      <c r="E104" s="75">
        <v>-1337.63</v>
      </c>
      <c r="F104" s="75">
        <v>-1171.1500000000001</v>
      </c>
      <c r="G104" s="26">
        <f>G8+G27+G44+G65+G85</f>
        <v>0</v>
      </c>
      <c r="H104" s="26">
        <f t="shared" si="55"/>
        <v>0</v>
      </c>
      <c r="I104" s="26">
        <f t="shared" si="55"/>
        <v>0</v>
      </c>
      <c r="J104" s="26">
        <f t="shared" si="55"/>
        <v>0</v>
      </c>
    </row>
    <row r="105" spans="1:12" x14ac:dyDescent="0.3">
      <c r="A105" s="34" t="s">
        <v>223</v>
      </c>
      <c r="C105" s="4" t="s">
        <v>11</v>
      </c>
      <c r="D105" s="4" t="s">
        <v>11</v>
      </c>
      <c r="E105" s="37">
        <v>-19.190000000000001</v>
      </c>
      <c r="F105" s="4" t="s">
        <v>11</v>
      </c>
    </row>
    <row r="106" spans="1:12" x14ac:dyDescent="0.3">
      <c r="A106" s="34" t="s">
        <v>215</v>
      </c>
      <c r="C106" s="75">
        <v>6176.44</v>
      </c>
      <c r="D106" s="75">
        <v>8082.36</v>
      </c>
      <c r="E106" s="75">
        <v>10184.92</v>
      </c>
      <c r="F106" s="75">
        <v>14592.23</v>
      </c>
      <c r="G106" s="26">
        <f>G9+G28+G46+G66+G86</f>
        <v>16488.858713529335</v>
      </c>
      <c r="H106" s="26">
        <f t="shared" ref="H106:J106" si="56">H9+H28+H46+H66+H86</f>
        <v>18336.394621879102</v>
      </c>
      <c r="I106" s="26">
        <f t="shared" si="56"/>
        <v>20221.708102551278</v>
      </c>
      <c r="J106" s="26">
        <f t="shared" si="56"/>
        <v>24624.503456239327</v>
      </c>
    </row>
    <row r="107" spans="1:12" x14ac:dyDescent="0.3">
      <c r="G107" s="4"/>
      <c r="H107" s="4"/>
      <c r="I107" s="4"/>
      <c r="J107" s="4"/>
    </row>
    <row r="108" spans="1:12" x14ac:dyDescent="0.3">
      <c r="A108" s="34" t="s">
        <v>220</v>
      </c>
      <c r="C108" s="75">
        <v>1953.15</v>
      </c>
      <c r="D108" s="75">
        <v>2450.42</v>
      </c>
      <c r="E108" s="75">
        <v>2797.95</v>
      </c>
      <c r="F108" s="75">
        <v>3860.73</v>
      </c>
      <c r="G108" s="82">
        <f>G11+G30+G48+G68+G88</f>
        <v>4815.5200000000004</v>
      </c>
      <c r="H108" s="26">
        <f t="shared" ref="H108:J108" si="57">H11+H30+H48+H68+H88</f>
        <v>6625.0052857142855</v>
      </c>
      <c r="I108" s="26">
        <f t="shared" si="57"/>
        <v>8671.4756178381413</v>
      </c>
      <c r="J108" s="26">
        <f t="shared" si="57"/>
        <v>10945.112435335657</v>
      </c>
    </row>
    <row r="109" spans="1:12" x14ac:dyDescent="0.3">
      <c r="A109" s="34" t="s">
        <v>217</v>
      </c>
      <c r="C109" s="37">
        <v>673.37</v>
      </c>
      <c r="D109" s="37">
        <v>895.67</v>
      </c>
      <c r="E109" s="75">
        <v>1363.53</v>
      </c>
      <c r="F109" s="75">
        <v>1755.67</v>
      </c>
      <c r="G109" s="26">
        <f t="shared" ref="G109:J109" si="58">G12+G31+G49+G69+G89</f>
        <v>1809.4852857142855</v>
      </c>
      <c r="H109" s="26">
        <f t="shared" si="58"/>
        <v>2046.4703321238565</v>
      </c>
      <c r="I109" s="26">
        <f t="shared" si="58"/>
        <v>2273.6368174975141</v>
      </c>
      <c r="J109" s="26">
        <f t="shared" si="58"/>
        <v>2508.3588173356525</v>
      </c>
    </row>
    <row r="110" spans="1:12" x14ac:dyDescent="0.3">
      <c r="A110" s="34" t="s">
        <v>219</v>
      </c>
      <c r="C110" s="37">
        <v>-176.1</v>
      </c>
      <c r="D110" s="37">
        <v>-548.14</v>
      </c>
      <c r="E110" s="37">
        <v>-299.48</v>
      </c>
      <c r="F110" s="37">
        <v>-800.88</v>
      </c>
      <c r="G110" s="26">
        <f t="shared" ref="G110:J110" si="59">G13+G32+G50+G70+G90</f>
        <v>0</v>
      </c>
      <c r="H110" s="26">
        <f t="shared" si="59"/>
        <v>0</v>
      </c>
      <c r="I110" s="26">
        <f t="shared" si="59"/>
        <v>0</v>
      </c>
      <c r="J110" s="26">
        <f t="shared" si="59"/>
        <v>0</v>
      </c>
    </row>
    <row r="111" spans="1:12" x14ac:dyDescent="0.3">
      <c r="A111" s="34" t="s">
        <v>223</v>
      </c>
      <c r="C111" s="75"/>
      <c r="D111" s="4" t="s">
        <v>11</v>
      </c>
      <c r="E111" s="37">
        <v>-1.27</v>
      </c>
      <c r="F111" s="4" t="s">
        <v>11</v>
      </c>
    </row>
    <row r="112" spans="1:12" x14ac:dyDescent="0.3">
      <c r="A112" s="34" t="s">
        <v>221</v>
      </c>
      <c r="C112" s="75">
        <v>2450.42</v>
      </c>
      <c r="D112" s="75">
        <v>2797.95</v>
      </c>
      <c r="E112" s="75">
        <v>3860.73</v>
      </c>
      <c r="F112" s="75">
        <v>4815.5200000000004</v>
      </c>
      <c r="G112" s="26">
        <f>G14+G33+G52+G71+G91</f>
        <v>6625.0052857142855</v>
      </c>
      <c r="H112" s="26">
        <f t="shared" ref="H112:J112" si="60">H14+H33+H52+H71+H91</f>
        <v>8671.4756178381413</v>
      </c>
      <c r="I112" s="26">
        <f t="shared" si="60"/>
        <v>10945.112435335657</v>
      </c>
      <c r="J112" s="26">
        <f t="shared" si="60"/>
        <v>13453.47125267131</v>
      </c>
    </row>
    <row r="113" spans="1:10" x14ac:dyDescent="0.3">
      <c r="G113" s="4"/>
      <c r="H113" s="4"/>
      <c r="I113" s="4"/>
      <c r="J113" s="4"/>
    </row>
    <row r="114" spans="1:10" x14ac:dyDescent="0.3">
      <c r="A114" s="34" t="s">
        <v>216</v>
      </c>
      <c r="C114" s="75">
        <v>3726.02</v>
      </c>
      <c r="D114" s="75">
        <v>5284.41</v>
      </c>
      <c r="E114" s="75">
        <v>6324.19</v>
      </c>
      <c r="F114" s="75">
        <v>9776.7099999999991</v>
      </c>
      <c r="G114" s="49">
        <f>G16+G35+G54+G73+G93</f>
        <v>9863.8534278150491</v>
      </c>
      <c r="H114" s="49">
        <f t="shared" ref="H114:J114" si="61">H16+H35+H54+H73+H93</f>
        <v>9664.919004040963</v>
      </c>
      <c r="I114" s="49">
        <f t="shared" si="61"/>
        <v>9276.5956672156208</v>
      </c>
      <c r="J114" s="49">
        <f t="shared" si="61"/>
        <v>11171.032203568018</v>
      </c>
    </row>
    <row r="115" spans="1:10" x14ac:dyDescent="0.3">
      <c r="G115" s="4"/>
      <c r="H115" s="4"/>
      <c r="I115" s="4"/>
      <c r="J115" s="4"/>
    </row>
    <row r="116" spans="1:10" x14ac:dyDescent="0.3">
      <c r="A116" s="34" t="s">
        <v>227</v>
      </c>
      <c r="B116" s="34" t="s">
        <v>230</v>
      </c>
      <c r="C116" s="26">
        <f>C106/C109</f>
        <v>9.1724312042413523</v>
      </c>
      <c r="D116" s="26">
        <f t="shared" ref="D116:F116" si="62">D106/D109</f>
        <v>9.0238145745642928</v>
      </c>
      <c r="E116" s="26">
        <f t="shared" si="62"/>
        <v>7.4695239562019173</v>
      </c>
      <c r="F116" s="26">
        <f t="shared" si="62"/>
        <v>8.3114879219898956</v>
      </c>
      <c r="G116" s="26">
        <f>G106/G109</f>
        <v>9.1124580253331207</v>
      </c>
      <c r="H116" s="26">
        <f t="shared" ref="H116:J116" si="63">H106/H109</f>
        <v>8.9600099908848065</v>
      </c>
      <c r="I116" s="26">
        <f t="shared" si="63"/>
        <v>8.8939921921252001</v>
      </c>
      <c r="J116" s="26">
        <f t="shared" si="63"/>
        <v>9.8169780519659344</v>
      </c>
    </row>
    <row r="117" spans="1:10" x14ac:dyDescent="0.3">
      <c r="A117" s="34" t="s">
        <v>228</v>
      </c>
      <c r="B117" s="34" t="s">
        <v>231</v>
      </c>
      <c r="C117" s="26">
        <f>C112/C109</f>
        <v>3.6390394582473231</v>
      </c>
      <c r="D117" s="26">
        <f t="shared" ref="D117:F117" si="64">D112/D109</f>
        <v>3.1238625833175164</v>
      </c>
      <c r="E117" s="26">
        <f t="shared" si="64"/>
        <v>2.8314228509823769</v>
      </c>
      <c r="F117" s="26">
        <f t="shared" si="64"/>
        <v>2.7428389161972353</v>
      </c>
      <c r="G117" s="26">
        <f>G112/G109</f>
        <v>3.6612650779854765</v>
      </c>
      <c r="H117" s="26">
        <f t="shared" ref="H117:J117" si="65">H112/H109</f>
        <v>4.2372838158072677</v>
      </c>
      <c r="I117" s="26">
        <f t="shared" si="65"/>
        <v>4.8139229410361288</v>
      </c>
      <c r="J117" s="26">
        <f t="shared" si="65"/>
        <v>5.3634556426665547</v>
      </c>
    </row>
    <row r="118" spans="1:10" x14ac:dyDescent="0.3">
      <c r="A118" s="34" t="s">
        <v>229</v>
      </c>
      <c r="B118" s="34" t="s">
        <v>232</v>
      </c>
      <c r="C118" s="26">
        <f>C114/C109</f>
        <v>5.5333917459940301</v>
      </c>
      <c r="D118" s="26">
        <f t="shared" ref="D118:F118" si="66">D114/D109</f>
        <v>5.8999519912467759</v>
      </c>
      <c r="E118" s="26">
        <f t="shared" si="66"/>
        <v>4.6381011052195404</v>
      </c>
      <c r="F118" s="26">
        <f t="shared" si="66"/>
        <v>5.5686490057926594</v>
      </c>
      <c r="G118" s="26">
        <f>G114/G109</f>
        <v>5.4511929473476437</v>
      </c>
      <c r="H118" s="26">
        <f t="shared" ref="H118:J118" si="67">H114/H109</f>
        <v>4.7227261750775398</v>
      </c>
      <c r="I118" s="26">
        <f t="shared" si="67"/>
        <v>4.0800692510890704</v>
      </c>
      <c r="J118" s="26">
        <f t="shared" si="67"/>
        <v>4.4535224092993797</v>
      </c>
    </row>
    <row r="119" spans="1:10" x14ac:dyDescent="0.3">
      <c r="G119" s="4"/>
      <c r="H119" s="4"/>
      <c r="I119" s="4"/>
      <c r="J119" s="4"/>
    </row>
    <row r="120" spans="1:10" s="2" customFormat="1" x14ac:dyDescent="0.3">
      <c r="A120" s="56" t="s">
        <v>226</v>
      </c>
      <c r="B120" s="56"/>
      <c r="C120" s="31"/>
      <c r="D120" s="31"/>
      <c r="E120" s="31"/>
      <c r="F120" s="31"/>
      <c r="G120" s="32"/>
      <c r="H120" s="32"/>
      <c r="I120" s="32"/>
      <c r="J120" s="32"/>
    </row>
    <row r="121" spans="1:10" x14ac:dyDescent="0.3">
      <c r="A121" s="34" t="s">
        <v>212</v>
      </c>
      <c r="C121" s="37">
        <v>375.73</v>
      </c>
      <c r="D121" s="37">
        <v>0</v>
      </c>
      <c r="E121" s="37">
        <v>401.45</v>
      </c>
      <c r="F121" s="37">
        <v>701.79</v>
      </c>
      <c r="G121" s="79">
        <v>3057.41</v>
      </c>
      <c r="H121" s="26">
        <f>G124</f>
        <v>3057.41</v>
      </c>
      <c r="I121" s="26">
        <f t="shared" ref="I121:J121" si="68">H124</f>
        <v>3057.41</v>
      </c>
      <c r="J121" s="26">
        <f t="shared" si="68"/>
        <v>3057.41</v>
      </c>
    </row>
    <row r="122" spans="1:10" x14ac:dyDescent="0.3">
      <c r="A122" s="34" t="s">
        <v>213</v>
      </c>
      <c r="C122" s="37">
        <v>590.42999999999995</v>
      </c>
      <c r="D122" s="37">
        <v>401.45</v>
      </c>
      <c r="E122" s="75">
        <v>1071.8599999999999</v>
      </c>
      <c r="F122" s="75">
        <v>6784.91</v>
      </c>
      <c r="G122" s="26">
        <v>0</v>
      </c>
      <c r="H122" s="26">
        <v>0</v>
      </c>
      <c r="I122" s="26">
        <v>0</v>
      </c>
      <c r="J122" s="26">
        <v>0</v>
      </c>
    </row>
    <row r="123" spans="1:10" x14ac:dyDescent="0.3">
      <c r="A123" s="34" t="s">
        <v>214</v>
      </c>
      <c r="C123" s="37">
        <v>-966.16</v>
      </c>
      <c r="D123" s="37">
        <v>0</v>
      </c>
      <c r="E123" s="37">
        <v>-771.52</v>
      </c>
      <c r="F123" s="75">
        <v>-4429.29</v>
      </c>
      <c r="G123" s="26">
        <v>0</v>
      </c>
      <c r="H123" s="26">
        <v>0</v>
      </c>
      <c r="I123" s="26">
        <v>0</v>
      </c>
      <c r="J123" s="26">
        <v>0</v>
      </c>
    </row>
    <row r="124" spans="1:10" x14ac:dyDescent="0.3">
      <c r="A124" s="34" t="s">
        <v>215</v>
      </c>
      <c r="C124" s="37">
        <v>0</v>
      </c>
      <c r="D124" s="37">
        <v>401.45</v>
      </c>
      <c r="E124" s="37">
        <v>701.79</v>
      </c>
      <c r="F124" s="75">
        <v>3057.41</v>
      </c>
      <c r="G124" s="26">
        <f>G121+G122+G123</f>
        <v>3057.41</v>
      </c>
      <c r="H124" s="26">
        <f t="shared" ref="H124:J124" si="69">H121+H122+H123</f>
        <v>3057.41</v>
      </c>
      <c r="I124" s="26">
        <f t="shared" si="69"/>
        <v>3057.41</v>
      </c>
      <c r="J124" s="26">
        <f t="shared" si="69"/>
        <v>3057.41</v>
      </c>
    </row>
    <row r="125" spans="1:10" x14ac:dyDescent="0.3">
      <c r="C125" s="75"/>
      <c r="D125" s="75"/>
      <c r="E125" s="75"/>
      <c r="F125" s="75"/>
      <c r="G125" s="75"/>
      <c r="H125" s="75"/>
      <c r="I125" s="75"/>
      <c r="J125" s="75"/>
    </row>
  </sheetData>
  <sheetProtection algorithmName="SHA-512" hashValue="c3Mv/DYWRRQ9uzbhJideMPwcB/XXeGk72lfgJav9/Nll+68HBE/cBHpZDLsFDB/okaHv2DGexTPY7VxbP2CIwA==" saltValue="7HHFzvOSXEn8TfujNghjnA==" spinCount="100000" sheet="1" objects="1" scenarios="1"/>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A1A8-D52A-4E48-BD4F-082AABA051B8}">
  <dimension ref="A1:L23"/>
  <sheetViews>
    <sheetView showGridLines="0" workbookViewId="0">
      <pane xSplit="2" ySplit="3" topLeftCell="C4" activePane="bottomRight" state="frozen"/>
      <selection activeCell="H124" sqref="H124"/>
      <selection pane="topRight" activeCell="H124" sqref="H124"/>
      <selection pane="bottomLeft" activeCell="H124" sqref="H124"/>
      <selection pane="bottomRight" activeCell="B1" sqref="B1"/>
    </sheetView>
  </sheetViews>
  <sheetFormatPr defaultRowHeight="14.4" x14ac:dyDescent="0.3"/>
  <cols>
    <col min="1" max="1" width="30.33203125" style="1" bestFit="1" customWidth="1"/>
    <col min="2" max="2" width="9.77734375" style="1" bestFit="1" customWidth="1"/>
    <col min="3" max="5" width="9.109375" style="4" bestFit="1" customWidth="1"/>
    <col min="6" max="6" width="10.6640625" style="4" bestFit="1" customWidth="1"/>
    <col min="7" max="10" width="10.6640625" style="26" bestFit="1" customWidth="1"/>
    <col min="12" max="12" width="9.109375" bestFit="1" customWidth="1"/>
  </cols>
  <sheetData>
    <row r="1" spans="1:12" s="2" customFormat="1" ht="18" customHeight="1" x14ac:dyDescent="0.3">
      <c r="A1" s="2" t="s">
        <v>394</v>
      </c>
      <c r="C1" s="35"/>
      <c r="D1" s="35"/>
      <c r="E1" s="35"/>
      <c r="F1" s="35"/>
      <c r="G1" s="36"/>
      <c r="H1" s="36"/>
      <c r="I1" s="36"/>
      <c r="J1" s="36"/>
    </row>
    <row r="2" spans="1:12" s="2" customFormat="1" x14ac:dyDescent="0.3">
      <c r="A2" s="2" t="s">
        <v>0</v>
      </c>
      <c r="C2" s="35"/>
      <c r="D2" s="35"/>
      <c r="E2" s="35"/>
      <c r="F2" s="35"/>
      <c r="G2" s="36"/>
      <c r="H2" s="36"/>
      <c r="I2" s="36"/>
      <c r="J2" s="36"/>
    </row>
    <row r="3" spans="1:12" s="2" customFormat="1" x14ac:dyDescent="0.3">
      <c r="A3" s="2" t="s">
        <v>9</v>
      </c>
      <c r="B3" s="2" t="s">
        <v>1</v>
      </c>
      <c r="C3" s="35" t="s">
        <v>2</v>
      </c>
      <c r="D3" s="35" t="s">
        <v>3</v>
      </c>
      <c r="E3" s="35" t="s">
        <v>51</v>
      </c>
      <c r="F3" s="35" t="s">
        <v>4</v>
      </c>
      <c r="G3" s="36" t="s">
        <v>5</v>
      </c>
      <c r="H3" s="36" t="s">
        <v>6</v>
      </c>
      <c r="I3" s="36" t="s">
        <v>7</v>
      </c>
      <c r="J3" s="36" t="s">
        <v>364</v>
      </c>
    </row>
    <row r="4" spans="1:12" x14ac:dyDescent="0.3">
      <c r="A4" s="1" t="str">
        <f>IS!A4</f>
        <v>Revenue from operations</v>
      </c>
      <c r="C4" s="4">
        <f>IS!C4</f>
        <v>57728.37</v>
      </c>
      <c r="D4" s="4">
        <f>IS!D4</f>
        <v>78853.37</v>
      </c>
      <c r="E4" s="4">
        <f>IS!E4</f>
        <v>99899.21</v>
      </c>
      <c r="F4" s="4">
        <f>IS!F4</f>
        <v>125162.71</v>
      </c>
      <c r="G4" s="26">
        <f>IS!G4</f>
        <v>185499.77012916206</v>
      </c>
      <c r="H4" s="26">
        <f>IS!H4</f>
        <v>238779.17324723123</v>
      </c>
      <c r="I4" s="26">
        <f>IS!I4</f>
        <v>292842.84358833247</v>
      </c>
      <c r="J4" s="26">
        <f>IS!J4</f>
        <v>365888.92360219132</v>
      </c>
    </row>
    <row r="5" spans="1:12" x14ac:dyDescent="0.3">
      <c r="A5" s="1" t="str">
        <f>IS!A5</f>
        <v xml:space="preserve">Cost of Goods Sold </v>
      </c>
      <c r="C5" s="4">
        <f>IS!C5</f>
        <v>41112.44</v>
      </c>
      <c r="D5" s="4">
        <f>IS!D5</f>
        <v>54438.49</v>
      </c>
      <c r="E5" s="4">
        <f>IS!E5</f>
        <v>69836.05</v>
      </c>
      <c r="F5" s="4">
        <f>IS!F5</f>
        <v>87667.73</v>
      </c>
      <c r="G5" s="26">
        <f>IS!G5</f>
        <v>127994.84138912181</v>
      </c>
      <c r="H5" s="26">
        <f>IS!H5</f>
        <v>171921.00473800648</v>
      </c>
      <c r="I5" s="26">
        <f>IS!I5</f>
        <v>204989.99051183273</v>
      </c>
      <c r="J5" s="26">
        <f>IS!J5</f>
        <v>256122.2465215339</v>
      </c>
    </row>
    <row r="7" spans="1:12" x14ac:dyDescent="0.3">
      <c r="A7" s="28" t="s">
        <v>287</v>
      </c>
      <c r="B7" s="52"/>
      <c r="C7" s="29"/>
      <c r="D7" s="29"/>
      <c r="E7" s="29"/>
      <c r="F7" s="29"/>
      <c r="G7" s="53"/>
      <c r="H7" s="53"/>
      <c r="I7" s="53"/>
      <c r="J7" s="53"/>
    </row>
    <row r="8" spans="1:12" ht="15.6" customHeight="1" x14ac:dyDescent="0.3">
      <c r="A8" s="1" t="str">
        <f>BS!A20</f>
        <v>Inventories</v>
      </c>
      <c r="C8" s="4">
        <f>BS!C20</f>
        <v>24993.29</v>
      </c>
      <c r="D8" s="4">
        <f>BS!D20</f>
        <v>33987.29</v>
      </c>
      <c r="E8" s="4">
        <f>BS!E20</f>
        <v>43969.18</v>
      </c>
      <c r="F8" s="4">
        <f>BS!F20</f>
        <v>59267.06</v>
      </c>
      <c r="G8" s="26">
        <f>G5/G9</f>
        <v>77147.575631799438</v>
      </c>
      <c r="H8" s="26">
        <f>H5/H9</f>
        <v>94203.290267400807</v>
      </c>
      <c r="I8" s="26">
        <f>I5/I9</f>
        <v>106707.11834862526</v>
      </c>
      <c r="J8" s="26">
        <f>J5/J9</f>
        <v>126306.86129829069</v>
      </c>
    </row>
    <row r="9" spans="1:12" x14ac:dyDescent="0.3">
      <c r="A9" s="1" t="s">
        <v>288</v>
      </c>
      <c r="B9" s="1" t="s">
        <v>386</v>
      </c>
      <c r="C9" s="4" t="s">
        <v>11</v>
      </c>
      <c r="D9" s="4">
        <f>D5/D8</f>
        <v>1.6017308234931351</v>
      </c>
      <c r="E9" s="4">
        <f>E5/E8</f>
        <v>1.5882954833362823</v>
      </c>
      <c r="F9" s="4">
        <f>F5/F8</f>
        <v>1.4791982257935521</v>
      </c>
      <c r="G9" s="26">
        <f>365/G10</f>
        <v>1.6590909090909092</v>
      </c>
      <c r="H9" s="26">
        <f t="shared" ref="H9:J9" si="0">365/H10</f>
        <v>1.825</v>
      </c>
      <c r="I9" s="26">
        <f t="shared" si="0"/>
        <v>1.9210526315789473</v>
      </c>
      <c r="J9" s="26">
        <f t="shared" si="0"/>
        <v>2.0277777777777777</v>
      </c>
    </row>
    <row r="10" spans="1:12" x14ac:dyDescent="0.3">
      <c r="A10" s="1" t="s">
        <v>289</v>
      </c>
      <c r="B10" s="1" t="s">
        <v>290</v>
      </c>
      <c r="C10" s="4" t="s">
        <v>11</v>
      </c>
      <c r="D10" s="4">
        <f>365/D9</f>
        <v>227.87848909843018</v>
      </c>
      <c r="E10" s="4">
        <f t="shared" ref="E10:F10" si="1">365/E9</f>
        <v>229.80610587225365</v>
      </c>
      <c r="F10" s="4">
        <f t="shared" si="1"/>
        <v>246.75529867147239</v>
      </c>
      <c r="G10" s="26">
        <f>Assumption!G71</f>
        <v>220</v>
      </c>
      <c r="H10" s="26">
        <f>Assumption!H71</f>
        <v>200</v>
      </c>
      <c r="I10" s="26">
        <f>Assumption!I71</f>
        <v>190</v>
      </c>
      <c r="J10" s="26">
        <f>Assumption!J71</f>
        <v>180</v>
      </c>
    </row>
    <row r="12" spans="1:12" x14ac:dyDescent="0.3">
      <c r="A12" s="28" t="s">
        <v>292</v>
      </c>
      <c r="B12" s="52"/>
      <c r="C12" s="29"/>
      <c r="D12" s="29"/>
      <c r="E12" s="29"/>
      <c r="F12" s="29"/>
      <c r="G12" s="53"/>
      <c r="H12" s="53"/>
      <c r="I12" s="53"/>
      <c r="J12" s="53"/>
    </row>
    <row r="13" spans="1:12" x14ac:dyDescent="0.3">
      <c r="A13" s="1" t="str">
        <f>BS!A21</f>
        <v>Trade receivables</v>
      </c>
      <c r="C13" s="4">
        <f>BS!C21</f>
        <v>518.26</v>
      </c>
      <c r="D13" s="4">
        <f>BS!D21</f>
        <v>617.74</v>
      </c>
      <c r="E13" s="4">
        <f>BS!E21</f>
        <v>1557.19</v>
      </c>
      <c r="F13" s="4">
        <f>BS!F21</f>
        <v>1825.95</v>
      </c>
      <c r="G13" s="26">
        <f>G5/G14</f>
        <v>1753.3539916318057</v>
      </c>
      <c r="H13" s="26">
        <f>H5/H14</f>
        <v>2355.0822566850202</v>
      </c>
      <c r="I13" s="26">
        <f>I5/I14</f>
        <v>2808.0820618059279</v>
      </c>
      <c r="J13" s="26">
        <f>J5/J14</f>
        <v>3508.5239249525193</v>
      </c>
    </row>
    <row r="14" spans="1:12" x14ac:dyDescent="0.3">
      <c r="A14" s="1" t="s">
        <v>293</v>
      </c>
      <c r="B14" s="1" t="s">
        <v>387</v>
      </c>
      <c r="C14" s="4" t="s">
        <v>11</v>
      </c>
      <c r="D14" s="58">
        <f>D4/D13</f>
        <v>127.64815294460452</v>
      </c>
      <c r="E14" s="58">
        <f t="shared" ref="E14:F14" si="2">E4/E13</f>
        <v>64.153513700961355</v>
      </c>
      <c r="F14" s="58">
        <f t="shared" si="2"/>
        <v>68.546625044497389</v>
      </c>
      <c r="G14" s="26">
        <f>365/G15</f>
        <v>73</v>
      </c>
      <c r="H14" s="26">
        <f t="shared" ref="H14:J14" si="3">365/H15</f>
        <v>73</v>
      </c>
      <c r="I14" s="26">
        <f t="shared" si="3"/>
        <v>73</v>
      </c>
      <c r="J14" s="26">
        <f t="shared" si="3"/>
        <v>73</v>
      </c>
    </row>
    <row r="15" spans="1:12" x14ac:dyDescent="0.3">
      <c r="A15" s="1" t="s">
        <v>294</v>
      </c>
      <c r="B15" s="1" t="s">
        <v>295</v>
      </c>
      <c r="C15" s="4" t="s">
        <v>11</v>
      </c>
      <c r="D15" s="4">
        <f>365/D14</f>
        <v>2.85942249519583</v>
      </c>
      <c r="E15" s="4">
        <f t="shared" ref="E15:F15" si="4">365/E14</f>
        <v>5.6894779248004053</v>
      </c>
      <c r="F15" s="4">
        <f t="shared" si="4"/>
        <v>5.3248427586778835</v>
      </c>
      <c r="G15" s="26">
        <f>Assumption!G72</f>
        <v>5</v>
      </c>
      <c r="H15" s="26">
        <f>Assumption!H72</f>
        <v>5</v>
      </c>
      <c r="I15" s="26">
        <f>Assumption!I72</f>
        <v>5</v>
      </c>
      <c r="J15" s="26">
        <f>Assumption!J72</f>
        <v>5</v>
      </c>
    </row>
    <row r="16" spans="1:12" x14ac:dyDescent="0.3">
      <c r="L16" s="47"/>
    </row>
    <row r="17" spans="1:10" x14ac:dyDescent="0.3">
      <c r="A17" s="28" t="s">
        <v>297</v>
      </c>
      <c r="B17" s="52"/>
      <c r="C17" s="29"/>
      <c r="D17" s="29"/>
      <c r="E17" s="29"/>
      <c r="F17" s="29"/>
      <c r="G17" s="53"/>
      <c r="H17" s="53"/>
      <c r="I17" s="53"/>
      <c r="J17" s="53"/>
    </row>
    <row r="18" spans="1:10" x14ac:dyDescent="0.3">
      <c r="A18" s="1" t="str">
        <f>BS!A46</f>
        <v>Trade payables</v>
      </c>
      <c r="C18" s="4">
        <f>BS!C46</f>
        <v>8354.08</v>
      </c>
      <c r="D18" s="4">
        <f>BS!D46</f>
        <v>9658.34</v>
      </c>
      <c r="E18" s="4">
        <f>BS!E46</f>
        <v>9596.77</v>
      </c>
      <c r="F18" s="4">
        <f>BS!F46</f>
        <v>8875.75</v>
      </c>
      <c r="G18" s="26">
        <f>G19/G20</f>
        <v>17984.633057373852</v>
      </c>
      <c r="H18" s="26">
        <f t="shared" ref="H18:J18" si="5">H19/H20</f>
        <v>25887.221832001076</v>
      </c>
      <c r="I18" s="26">
        <f t="shared" si="5"/>
        <v>32773.041157857937</v>
      </c>
      <c r="J18" s="26">
        <f t="shared" si="5"/>
        <v>45324.162652799896</v>
      </c>
    </row>
    <row r="19" spans="1:10" x14ac:dyDescent="0.3">
      <c r="A19" s="1" t="s">
        <v>299</v>
      </c>
      <c r="B19" s="1" t="s">
        <v>300</v>
      </c>
      <c r="C19" s="4" t="s">
        <v>11</v>
      </c>
      <c r="D19" s="4">
        <f t="shared" ref="D19:J19" si="6">D8+D5-C8</f>
        <v>63432.49</v>
      </c>
      <c r="E19" s="4">
        <f t="shared" si="6"/>
        <v>79817.94</v>
      </c>
      <c r="F19" s="4">
        <f t="shared" si="6"/>
        <v>102965.60999999999</v>
      </c>
      <c r="G19" s="26">
        <f t="shared" si="6"/>
        <v>145875.35702092125</v>
      </c>
      <c r="H19" s="26">
        <f t="shared" si="6"/>
        <v>188976.71937360786</v>
      </c>
      <c r="I19" s="26">
        <f t="shared" si="6"/>
        <v>217493.81859305722</v>
      </c>
      <c r="J19" s="26">
        <f t="shared" si="6"/>
        <v>275721.98947119934</v>
      </c>
    </row>
    <row r="20" spans="1:10" x14ac:dyDescent="0.3">
      <c r="A20" s="1" t="s">
        <v>301</v>
      </c>
      <c r="B20" s="1" t="s">
        <v>388</v>
      </c>
      <c r="C20" s="4" t="s">
        <v>11</v>
      </c>
      <c r="D20" s="4">
        <f>D19/D18</f>
        <v>6.5676389524493857</v>
      </c>
      <c r="E20" s="4">
        <f>E19/E18</f>
        <v>8.3171671301906791</v>
      </c>
      <c r="F20" s="4">
        <f>F19/F18</f>
        <v>11.600778525758384</v>
      </c>
      <c r="G20" s="26">
        <f>365/G21</f>
        <v>8.1111111111111107</v>
      </c>
      <c r="H20" s="26">
        <f t="shared" ref="H20:J20" si="7">365/H21</f>
        <v>7.3</v>
      </c>
      <c r="I20" s="26">
        <f t="shared" si="7"/>
        <v>6.6363636363636367</v>
      </c>
      <c r="J20" s="26">
        <f t="shared" si="7"/>
        <v>6.083333333333333</v>
      </c>
    </row>
    <row r="21" spans="1:10" x14ac:dyDescent="0.3">
      <c r="A21" s="1" t="s">
        <v>302</v>
      </c>
      <c r="B21" s="1" t="s">
        <v>303</v>
      </c>
      <c r="C21" s="4" t="s">
        <v>11</v>
      </c>
      <c r="D21" s="4">
        <f>365/D20</f>
        <v>55.575527619994105</v>
      </c>
      <c r="E21" s="4">
        <f t="shared" ref="E21:F21" si="8">365/E20</f>
        <v>43.885134720339813</v>
      </c>
      <c r="F21" s="4">
        <f t="shared" si="8"/>
        <v>31.463405597266899</v>
      </c>
      <c r="G21" s="26">
        <f>Assumption!G73</f>
        <v>45</v>
      </c>
      <c r="H21" s="26">
        <f>Assumption!H73</f>
        <v>50</v>
      </c>
      <c r="I21" s="26">
        <f>Assumption!I73</f>
        <v>55</v>
      </c>
      <c r="J21" s="26">
        <f>Assumption!J73</f>
        <v>60</v>
      </c>
    </row>
    <row r="23" spans="1:10" x14ac:dyDescent="0.3">
      <c r="G23" s="26">
        <f>G18-F18</f>
        <v>9108.8830573738524</v>
      </c>
      <c r="H23" s="26">
        <f t="shared" ref="H23:J23" si="9">H18-G18</f>
        <v>7902.5887746272238</v>
      </c>
      <c r="I23" s="26">
        <f t="shared" si="9"/>
        <v>6885.8193258568608</v>
      </c>
      <c r="J23" s="26">
        <f t="shared" si="9"/>
        <v>12551.121494941959</v>
      </c>
    </row>
  </sheetData>
  <sheetProtection algorithmName="SHA-512" hashValue="A7fuzW1bOD2KLPxdJUNN0Fxhf6uKTBCAzyYnQy8IbWDcydOwzb8bzx9qwit0gG9+sMAMcKXT95YBW04CRFyZsg==" saltValue="U1tKFusmzAoDo1gsUhH0ag=="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E74B-887A-4A74-A1A2-26763E4937CF}">
  <dimension ref="A1:K36"/>
  <sheetViews>
    <sheetView showGridLines="0" workbookViewId="0">
      <pane xSplit="2" ySplit="3" topLeftCell="C4" activePane="bottomRight" state="frozen"/>
      <selection pane="topRight" activeCell="C1" sqref="C1"/>
      <selection pane="bottomLeft" activeCell="A4" sqref="A4"/>
      <selection pane="bottomRight" activeCell="G7" sqref="G7"/>
    </sheetView>
  </sheetViews>
  <sheetFormatPr defaultRowHeight="14.4" x14ac:dyDescent="0.3"/>
  <cols>
    <col min="1" max="1" width="37.44140625" style="1" customWidth="1"/>
    <col min="2" max="2" width="12.6640625" style="1" customWidth="1"/>
    <col min="3" max="3" width="10.77734375" style="4" bestFit="1" customWidth="1"/>
    <col min="4" max="4" width="9.109375" style="4" bestFit="1" customWidth="1"/>
    <col min="5" max="5" width="9.21875" style="4" bestFit="1" customWidth="1"/>
    <col min="6" max="6" width="11" style="4" customWidth="1"/>
    <col min="7" max="7" width="9.21875" style="26" bestFit="1" customWidth="1"/>
    <col min="8" max="8" width="12.109375" style="26" bestFit="1" customWidth="1"/>
    <col min="9" max="10" width="9.109375" style="26" bestFit="1" customWidth="1"/>
  </cols>
  <sheetData>
    <row r="1" spans="1:10" s="2" customFormat="1" ht="18" customHeight="1" x14ac:dyDescent="0.3">
      <c r="A1" s="2" t="s">
        <v>395</v>
      </c>
      <c r="D1" s="35"/>
      <c r="E1" s="35"/>
      <c r="F1" s="35"/>
      <c r="G1" s="36"/>
      <c r="H1" s="36"/>
      <c r="I1" s="36"/>
      <c r="J1" s="36"/>
    </row>
    <row r="2" spans="1:10" s="2" customFormat="1" x14ac:dyDescent="0.3">
      <c r="A2" s="2" t="s">
        <v>0</v>
      </c>
      <c r="D2" s="35"/>
      <c r="E2" s="35"/>
      <c r="F2" s="35"/>
      <c r="G2" s="88"/>
      <c r="H2" s="36"/>
      <c r="I2" s="36"/>
      <c r="J2" s="36"/>
    </row>
    <row r="3" spans="1:10" s="2" customFormat="1" x14ac:dyDescent="0.3">
      <c r="A3" s="2" t="s">
        <v>9</v>
      </c>
      <c r="B3" s="2" t="s">
        <v>1</v>
      </c>
      <c r="C3" s="2" t="s">
        <v>2</v>
      </c>
      <c r="D3" s="35" t="s">
        <v>3</v>
      </c>
      <c r="E3" s="35" t="s">
        <v>51</v>
      </c>
      <c r="F3" s="35" t="s">
        <v>4</v>
      </c>
      <c r="G3" s="36" t="s">
        <v>5</v>
      </c>
      <c r="H3" s="36" t="s">
        <v>6</v>
      </c>
      <c r="I3" s="36" t="s">
        <v>7</v>
      </c>
      <c r="J3" s="36" t="s">
        <v>364</v>
      </c>
    </row>
    <row r="5" spans="1:10" s="2" customFormat="1" x14ac:dyDescent="0.3">
      <c r="A5" s="28" t="s">
        <v>245</v>
      </c>
      <c r="B5" s="28"/>
      <c r="C5" s="31"/>
      <c r="D5" s="31"/>
      <c r="E5" s="31"/>
      <c r="F5" s="31"/>
      <c r="G5" s="32"/>
      <c r="H5" s="32"/>
      <c r="I5" s="32"/>
      <c r="J5" s="32"/>
    </row>
    <row r="6" spans="1:10" x14ac:dyDescent="0.3">
      <c r="A6" s="1" t="s">
        <v>246</v>
      </c>
      <c r="C6" s="47">
        <v>8122.03</v>
      </c>
      <c r="D6" s="75">
        <v>9159.1299999999992</v>
      </c>
      <c r="E6" s="75">
        <v>10345.040000000001</v>
      </c>
      <c r="F6" s="75">
        <v>12541.03</v>
      </c>
      <c r="G6" s="79">
        <f>F10</f>
        <v>26045.040000000001</v>
      </c>
      <c r="H6" s="26">
        <f t="shared" ref="H6:J6" si="0">G10</f>
        <v>23933.78</v>
      </c>
      <c r="I6" s="26">
        <f t="shared" si="0"/>
        <v>22438.334999999999</v>
      </c>
      <c r="J6" s="26">
        <f t="shared" si="0"/>
        <v>21406.511250000003</v>
      </c>
    </row>
    <row r="7" spans="1:10" x14ac:dyDescent="0.3">
      <c r="A7" t="s">
        <v>247</v>
      </c>
      <c r="C7" s="47">
        <v>3715.13</v>
      </c>
      <c r="D7" s="75">
        <v>3995.74</v>
      </c>
      <c r="E7" s="75">
        <v>5690.97</v>
      </c>
      <c r="F7" s="75">
        <v>19951.43</v>
      </c>
      <c r="G7" s="26">
        <f>G12</f>
        <v>4400</v>
      </c>
      <c r="H7" s="26">
        <f>H12</f>
        <v>4488</v>
      </c>
      <c r="I7" s="26">
        <f>I12</f>
        <v>4577.76</v>
      </c>
      <c r="J7" s="26">
        <f>J12</f>
        <v>11673.288</v>
      </c>
    </row>
    <row r="8" spans="1:10" x14ac:dyDescent="0.3">
      <c r="A8" t="s">
        <v>248</v>
      </c>
      <c r="C8">
        <v>-217.87</v>
      </c>
      <c r="D8" s="37">
        <v>-261.39999999999998</v>
      </c>
      <c r="E8" s="37">
        <v>-63.49</v>
      </c>
      <c r="F8" s="75">
        <v>-1194.99</v>
      </c>
      <c r="G8" s="26">
        <v>0</v>
      </c>
      <c r="H8" s="26">
        <v>0</v>
      </c>
      <c r="I8" s="26">
        <v>0</v>
      </c>
      <c r="J8" s="26">
        <v>0</v>
      </c>
    </row>
    <row r="9" spans="1:10" x14ac:dyDescent="0.3">
      <c r="A9" t="s">
        <v>249</v>
      </c>
      <c r="C9">
        <v>2460.16</v>
      </c>
      <c r="D9" s="37">
        <v>2548.4299999999998</v>
      </c>
      <c r="E9" s="37">
        <v>3431.49</v>
      </c>
      <c r="F9" s="37">
        <v>4532.7</v>
      </c>
      <c r="G9" s="26">
        <f>G6/G17</f>
        <v>6511.26</v>
      </c>
      <c r="H9" s="26">
        <f t="shared" ref="H9:J9" si="1">H6/H17</f>
        <v>5983.4449999999997</v>
      </c>
      <c r="I9" s="26">
        <f t="shared" si="1"/>
        <v>5609.5837499999998</v>
      </c>
      <c r="J9" s="26">
        <f t="shared" si="1"/>
        <v>5351.6278125000008</v>
      </c>
    </row>
    <row r="10" spans="1:10" x14ac:dyDescent="0.3">
      <c r="A10" s="1" t="s">
        <v>250</v>
      </c>
      <c r="C10" s="47">
        <v>9159.1299999999992</v>
      </c>
      <c r="D10" s="75">
        <v>10345.040000000001</v>
      </c>
      <c r="E10" s="75">
        <v>12541.03</v>
      </c>
      <c r="F10" s="75">
        <v>26045.040000000001</v>
      </c>
      <c r="G10" s="26">
        <f>G6+G7+G8-G9</f>
        <v>23933.78</v>
      </c>
      <c r="H10" s="26">
        <f t="shared" ref="H10:J10" si="2">H6+H7+H8-H9</f>
        <v>22438.334999999999</v>
      </c>
      <c r="I10" s="26">
        <f t="shared" si="2"/>
        <v>21406.511250000003</v>
      </c>
      <c r="J10" s="26">
        <f t="shared" si="2"/>
        <v>27728.171437500001</v>
      </c>
    </row>
    <row r="12" spans="1:10" x14ac:dyDescent="0.3">
      <c r="A12" s="1" t="s">
        <v>251</v>
      </c>
      <c r="C12" s="4">
        <f>C7+C8</f>
        <v>3497.26</v>
      </c>
      <c r="D12" s="4">
        <f t="shared" ref="D12:F12" si="3">D7+D8</f>
        <v>3734.3399999999997</v>
      </c>
      <c r="E12" s="4">
        <f t="shared" si="3"/>
        <v>5627.4800000000005</v>
      </c>
      <c r="F12" s="4">
        <f t="shared" si="3"/>
        <v>18756.439999999999</v>
      </c>
      <c r="G12" s="26">
        <f>G13*G15</f>
        <v>4400</v>
      </c>
      <c r="H12" s="26">
        <f t="shared" ref="H12:J12" si="4">H13*H15</f>
        <v>4488</v>
      </c>
      <c r="I12" s="26">
        <f t="shared" si="4"/>
        <v>4577.76</v>
      </c>
      <c r="J12" s="26">
        <f t="shared" si="4"/>
        <v>11673.288</v>
      </c>
    </row>
    <row r="13" spans="1:10" x14ac:dyDescent="0.3">
      <c r="A13" s="1" t="str">
        <f>'Revenue Model'!A13</f>
        <v>Number of Stores Newly opened during the year</v>
      </c>
      <c r="C13" s="37">
        <f>'Revenue Model'!C13</f>
        <v>6</v>
      </c>
      <c r="D13" s="37">
        <f>'Revenue Model'!D13</f>
        <v>7</v>
      </c>
      <c r="E13" s="37">
        <f>'Revenue Model'!E13</f>
        <v>10</v>
      </c>
      <c r="F13" s="37">
        <f>'Revenue Model'!F13</f>
        <v>27</v>
      </c>
      <c r="G13" s="86">
        <f>'Revenue Model'!G13</f>
        <v>8</v>
      </c>
      <c r="H13" s="86">
        <f>'Revenue Model'!H13</f>
        <v>8</v>
      </c>
      <c r="I13" s="86">
        <f>'Revenue Model'!I13</f>
        <v>8</v>
      </c>
      <c r="J13" s="86">
        <f>'Revenue Model'!J13</f>
        <v>20</v>
      </c>
    </row>
    <row r="15" spans="1:10" x14ac:dyDescent="0.3">
      <c r="A15" s="1" t="s">
        <v>252</v>
      </c>
      <c r="C15" s="4">
        <f>C12/C13</f>
        <v>582.87666666666667</v>
      </c>
      <c r="D15" s="4">
        <f t="shared" ref="D15:F15" si="5">D12/D13</f>
        <v>533.47714285714278</v>
      </c>
      <c r="E15" s="4">
        <f t="shared" si="5"/>
        <v>562.74800000000005</v>
      </c>
      <c r="F15" s="4">
        <f t="shared" si="5"/>
        <v>694.68296296296296</v>
      </c>
      <c r="G15" s="26">
        <f>Assumption!G59</f>
        <v>550</v>
      </c>
      <c r="H15" s="26">
        <f>Assumption!H59</f>
        <v>561</v>
      </c>
      <c r="I15" s="26">
        <f>Assumption!I59</f>
        <v>572.22</v>
      </c>
      <c r="J15" s="26">
        <f>Assumption!J59</f>
        <v>583.6644</v>
      </c>
    </row>
    <row r="17" spans="1:11" x14ac:dyDescent="0.3">
      <c r="A17" s="1" t="s">
        <v>309</v>
      </c>
      <c r="B17" s="1" t="s">
        <v>310</v>
      </c>
      <c r="C17" s="4">
        <f>C6/C9</f>
        <v>3.301423484651405</v>
      </c>
      <c r="D17" s="4">
        <f t="shared" ref="D17:F17" si="6">D6/D9</f>
        <v>3.5940284802800155</v>
      </c>
      <c r="E17" s="4">
        <f t="shared" si="6"/>
        <v>3.0147370384293706</v>
      </c>
      <c r="F17" s="4">
        <f t="shared" si="6"/>
        <v>2.7667902133386284</v>
      </c>
      <c r="G17" s="26">
        <f>Assumption!G60</f>
        <v>4</v>
      </c>
      <c r="H17" s="26">
        <f>Assumption!H60</f>
        <v>4</v>
      </c>
      <c r="I17" s="26">
        <f>Assumption!I60</f>
        <v>4</v>
      </c>
      <c r="J17" s="26">
        <f>Assumption!J60</f>
        <v>4</v>
      </c>
    </row>
    <row r="20" spans="1:11" x14ac:dyDescent="0.3">
      <c r="A20" s="28" t="s">
        <v>255</v>
      </c>
      <c r="B20" s="52"/>
      <c r="C20" s="29"/>
      <c r="D20" s="29"/>
      <c r="E20" s="29"/>
      <c r="F20" s="29"/>
      <c r="G20" s="53"/>
      <c r="H20" s="53"/>
      <c r="I20" s="53"/>
      <c r="J20" s="53"/>
    </row>
    <row r="21" spans="1:11" x14ac:dyDescent="0.3">
      <c r="A21" s="1" t="s">
        <v>246</v>
      </c>
      <c r="C21" s="47">
        <v>8819.3700000000008</v>
      </c>
      <c r="D21" s="75">
        <v>10186.969999999999</v>
      </c>
      <c r="E21" s="75">
        <v>11273.55</v>
      </c>
      <c r="F21" s="75">
        <v>13831.86</v>
      </c>
      <c r="G21" s="79">
        <v>28676.09</v>
      </c>
      <c r="H21" s="26">
        <f>G30</f>
        <v>26919.915087271242</v>
      </c>
      <c r="I21" s="26">
        <f t="shared" ref="I21:J21" si="7">H30</f>
        <v>25628.755309454689</v>
      </c>
      <c r="J21" s="26">
        <f t="shared" si="7"/>
        <v>24704.541348551069</v>
      </c>
    </row>
    <row r="22" spans="1:11" x14ac:dyDescent="0.3">
      <c r="A22" t="s">
        <v>247</v>
      </c>
      <c r="C22" s="47">
        <v>3591.35</v>
      </c>
      <c r="D22" s="75">
        <v>3774.47</v>
      </c>
      <c r="E22" s="75">
        <v>5441.3</v>
      </c>
      <c r="F22" s="75">
        <v>19348.41</v>
      </c>
      <c r="G22" s="26">
        <f>G12</f>
        <v>4400</v>
      </c>
      <c r="H22" s="26">
        <f t="shared" ref="H22:J22" si="8">H12</f>
        <v>4488</v>
      </c>
      <c r="I22" s="26">
        <f t="shared" si="8"/>
        <v>4577.76</v>
      </c>
      <c r="J22" s="26">
        <f t="shared" si="8"/>
        <v>11673.288</v>
      </c>
    </row>
    <row r="23" spans="1:11" x14ac:dyDescent="0.3">
      <c r="A23" t="s">
        <v>248</v>
      </c>
      <c r="C23">
        <v>-214.55</v>
      </c>
      <c r="D23" s="37">
        <v>-285.17</v>
      </c>
      <c r="E23" s="37">
        <v>-68.13</v>
      </c>
      <c r="F23" s="75">
        <v>-1299.03</v>
      </c>
      <c r="G23" s="26">
        <v>0</v>
      </c>
      <c r="H23" s="26">
        <v>0</v>
      </c>
      <c r="I23" s="26">
        <v>0</v>
      </c>
      <c r="J23" s="26">
        <v>0</v>
      </c>
    </row>
    <row r="24" spans="1:11" x14ac:dyDescent="0.3">
      <c r="A24"/>
      <c r="C24"/>
      <c r="D24" s="37"/>
      <c r="E24" s="37"/>
      <c r="F24" s="75"/>
    </row>
    <row r="25" spans="1:11" x14ac:dyDescent="0.3">
      <c r="A25" t="s">
        <v>256</v>
      </c>
      <c r="C25" s="47">
        <v>2225.5700000000002</v>
      </c>
      <c r="D25" s="5">
        <v>3555.63</v>
      </c>
      <c r="E25" s="5">
        <v>4326.22</v>
      </c>
      <c r="F25" s="5">
        <v>5765.74</v>
      </c>
      <c r="G25" s="26">
        <f>PMT(G35,G36,-G21)</f>
        <v>9095.4741377287537</v>
      </c>
      <c r="H25" s="26">
        <f t="shared" ref="H25:J25" si="9">PMT(H35,H36,-H21)</f>
        <v>8538.4510742618568</v>
      </c>
      <c r="I25" s="26">
        <f t="shared" si="9"/>
        <v>8128.9213801227288</v>
      </c>
      <c r="J25" s="26">
        <f t="shared" si="9"/>
        <v>7835.7794566901166</v>
      </c>
    </row>
    <row r="26" spans="1:11" x14ac:dyDescent="0.3">
      <c r="A26" s="1" t="s">
        <v>257</v>
      </c>
      <c r="C26" s="47">
        <v>1020.83</v>
      </c>
      <c r="D26" s="75">
        <v>1152.9100000000001</v>
      </c>
      <c r="E26" s="75">
        <v>1511.36</v>
      </c>
      <c r="F26" s="75">
        <f>1824.71+735.88</f>
        <v>2560.59</v>
      </c>
      <c r="G26" s="26">
        <f>G21*G35</f>
        <v>2939.2992249999998</v>
      </c>
      <c r="H26" s="26">
        <f t="shared" ref="H26:J26" si="10">H21*H35</f>
        <v>2759.2912964453021</v>
      </c>
      <c r="I26" s="26">
        <f t="shared" si="10"/>
        <v>2626.9474192191055</v>
      </c>
      <c r="J26" s="26">
        <f t="shared" si="10"/>
        <v>2532.2154882264845</v>
      </c>
    </row>
    <row r="27" spans="1:11" x14ac:dyDescent="0.3">
      <c r="A27" s="1" t="s">
        <v>258</v>
      </c>
      <c r="C27" s="4">
        <f>C25-C26</f>
        <v>1204.7400000000002</v>
      </c>
      <c r="D27" s="4">
        <f t="shared" ref="D27:F27" si="11">D25-D26</f>
        <v>2402.7200000000003</v>
      </c>
      <c r="E27" s="4">
        <f t="shared" si="11"/>
        <v>2814.8600000000006</v>
      </c>
      <c r="F27" s="4">
        <f t="shared" si="11"/>
        <v>3205.1499999999996</v>
      </c>
      <c r="G27" s="26">
        <f>G25-G26</f>
        <v>6156.174912728754</v>
      </c>
      <c r="H27" s="26">
        <f t="shared" ref="H27:J27" si="12">H25-H26</f>
        <v>5779.1597778165542</v>
      </c>
      <c r="I27" s="26">
        <f t="shared" si="12"/>
        <v>5501.9739609036233</v>
      </c>
      <c r="J27" s="26">
        <f t="shared" si="12"/>
        <v>5303.5639684636317</v>
      </c>
    </row>
    <row r="28" spans="1:11" x14ac:dyDescent="0.3">
      <c r="A28" s="1" t="s">
        <v>259</v>
      </c>
      <c r="C28">
        <v>-804.46</v>
      </c>
      <c r="F28" s="37"/>
      <c r="K28" s="47"/>
    </row>
    <row r="29" spans="1:11" x14ac:dyDescent="0.3">
      <c r="C29"/>
      <c r="F29" s="37"/>
    </row>
    <row r="30" spans="1:11" s="2" customFormat="1" x14ac:dyDescent="0.3">
      <c r="A30" s="3" t="s">
        <v>250</v>
      </c>
      <c r="B30" s="3"/>
      <c r="C30" s="50">
        <v>10186.969999999999</v>
      </c>
      <c r="D30" s="67">
        <v>11273.55</v>
      </c>
      <c r="E30" s="67">
        <v>13831.86</v>
      </c>
      <c r="F30" s="67">
        <v>28676.09</v>
      </c>
      <c r="G30" s="26">
        <f>G21+G22-G23-G27</f>
        <v>26919.915087271242</v>
      </c>
      <c r="H30" s="26">
        <f t="shared" ref="H30:J30" si="13">H21+H22-H23-H27</f>
        <v>25628.755309454689</v>
      </c>
      <c r="I30" s="26">
        <f t="shared" si="13"/>
        <v>24704.541348551069</v>
      </c>
      <c r="J30" s="26">
        <f t="shared" si="13"/>
        <v>31074.265380087432</v>
      </c>
    </row>
    <row r="31" spans="1:11" x14ac:dyDescent="0.3">
      <c r="A31" s="1" t="s">
        <v>260</v>
      </c>
      <c r="C31" s="47">
        <v>2238.4</v>
      </c>
      <c r="D31" s="75">
        <v>2356.75</v>
      </c>
      <c r="E31" s="75">
        <v>2731.21</v>
      </c>
      <c r="F31" s="75">
        <v>4179.4799999999996</v>
      </c>
      <c r="G31" s="26">
        <f>G30*Assumption!G63</f>
        <v>4037.9872630906862</v>
      </c>
      <c r="H31" s="26">
        <f>H30*Assumption!H63</f>
        <v>3844.3132964182032</v>
      </c>
      <c r="I31" s="26">
        <f>I30*Assumption!I63</f>
        <v>3705.6812022826603</v>
      </c>
      <c r="J31" s="26">
        <f>J30*Assumption!J63</f>
        <v>4661.1398070131145</v>
      </c>
    </row>
    <row r="32" spans="1:11" x14ac:dyDescent="0.3">
      <c r="A32" s="1" t="s">
        <v>261</v>
      </c>
      <c r="C32" s="47">
        <v>7948.57</v>
      </c>
      <c r="D32" s="75">
        <v>8916.7999999999993</v>
      </c>
      <c r="E32" s="75">
        <v>11100.65</v>
      </c>
      <c r="F32" s="75">
        <v>24496.61</v>
      </c>
      <c r="G32" s="26">
        <f>G30-G31</f>
        <v>22881.927824180555</v>
      </c>
      <c r="H32" s="26">
        <f t="shared" ref="H32:J32" si="14">H30-H31</f>
        <v>21784.442013036485</v>
      </c>
      <c r="I32" s="26">
        <f t="shared" si="14"/>
        <v>20998.860146268409</v>
      </c>
      <c r="J32" s="26">
        <f t="shared" si="14"/>
        <v>26413.125573074318</v>
      </c>
    </row>
    <row r="34" spans="1:10" x14ac:dyDescent="0.3">
      <c r="A34" s="1" t="s">
        <v>262</v>
      </c>
      <c r="C34" s="4">
        <f>C22+C23</f>
        <v>3376.7999999999997</v>
      </c>
      <c r="D34" s="4">
        <f t="shared" ref="D34:F34" si="15">D22+D23</f>
        <v>3489.2999999999997</v>
      </c>
      <c r="E34" s="4">
        <f t="shared" si="15"/>
        <v>5373.17</v>
      </c>
      <c r="F34" s="4">
        <f t="shared" si="15"/>
        <v>18049.38</v>
      </c>
      <c r="G34" s="26">
        <f>G12</f>
        <v>4400</v>
      </c>
      <c r="H34" s="26">
        <f t="shared" ref="H34:J34" si="16">H12</f>
        <v>4488</v>
      </c>
      <c r="I34" s="26">
        <f t="shared" si="16"/>
        <v>4577.76</v>
      </c>
      <c r="J34" s="26">
        <f t="shared" si="16"/>
        <v>11673.288</v>
      </c>
    </row>
    <row r="35" spans="1:10" x14ac:dyDescent="0.3">
      <c r="A35" s="1" t="s">
        <v>263</v>
      </c>
      <c r="C35" s="24">
        <f>C26/C21</f>
        <v>0.11574863057111788</v>
      </c>
      <c r="D35" s="24">
        <f t="shared" ref="D35:F35" si="17">D26/D21</f>
        <v>0.11317496763021784</v>
      </c>
      <c r="E35" s="24">
        <f t="shared" si="17"/>
        <v>0.13406247366623644</v>
      </c>
      <c r="F35" s="24">
        <f t="shared" si="17"/>
        <v>0.18512260823923898</v>
      </c>
      <c r="G35" s="27">
        <f>Assumption!G64</f>
        <v>0.10249999999999999</v>
      </c>
      <c r="H35" s="27">
        <f>Assumption!H64</f>
        <v>0.10249999999999999</v>
      </c>
      <c r="I35" s="27">
        <f>Assumption!I64</f>
        <v>0.10249999999999999</v>
      </c>
      <c r="J35" s="27">
        <f>Assumption!J64</f>
        <v>0.10249999999999999</v>
      </c>
    </row>
    <row r="36" spans="1:10" x14ac:dyDescent="0.3">
      <c r="A36" s="1" t="s">
        <v>264</v>
      </c>
      <c r="C36" s="51">
        <f t="shared" ref="C36:E36" si="18">NPER(C35,C25,-C21)</f>
        <v>5.6037063704420511</v>
      </c>
      <c r="D36" s="51">
        <f t="shared" si="18"/>
        <v>3.6555166239111139</v>
      </c>
      <c r="E36" s="51">
        <f t="shared" si="18"/>
        <v>3.4162174003132089</v>
      </c>
      <c r="F36" s="51">
        <f>NPER(F35,F25,-F21)</f>
        <v>3.4570952445167236</v>
      </c>
      <c r="G36" s="26">
        <f>G17</f>
        <v>4</v>
      </c>
      <c r="H36" s="26">
        <f t="shared" ref="H36:J36" si="19">H17</f>
        <v>4</v>
      </c>
      <c r="I36" s="26">
        <f t="shared" si="19"/>
        <v>4</v>
      </c>
      <c r="J36" s="26">
        <f t="shared" si="19"/>
        <v>4</v>
      </c>
    </row>
  </sheetData>
  <sheetProtection algorithmName="SHA-512" hashValue="vVcCtz3VFC4DBLHNDj1KFPKag3nmn+smMnN9XOt2bjLgPSJ4XQkw4EJ1r5xbHYStGKp7oO4RwLBEP6V42FqBCw==" saltValue="ZYbkqB47N6CdL3p7FPrfZw==" spinCount="100000" sheet="1" objects="1" scenarios="1"/>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2E38-832C-45C8-98D9-700AA402D430}">
  <dimension ref="A1:J24"/>
  <sheetViews>
    <sheetView showGridLines="0" zoomScaleNormal="100" workbookViewId="0">
      <pane xSplit="2" ySplit="3" topLeftCell="C4" activePane="bottomRight" state="frozen"/>
      <selection pane="topRight" activeCell="C1" sqref="C1"/>
      <selection pane="bottomLeft" activeCell="A4" sqref="A4"/>
      <selection pane="bottomRight" activeCell="B1" sqref="B1"/>
    </sheetView>
  </sheetViews>
  <sheetFormatPr defaultRowHeight="14.4" x14ac:dyDescent="0.3"/>
  <cols>
    <col min="1" max="1" width="33.44140625" style="34" bestFit="1" customWidth="1"/>
    <col min="2" max="2" width="9.77734375" style="34" bestFit="1" customWidth="1"/>
    <col min="3" max="3" width="10.6640625" style="4" bestFit="1" customWidth="1"/>
    <col min="4" max="6" width="8.88671875" style="4"/>
    <col min="7" max="7" width="9.21875" style="26" bestFit="1" customWidth="1"/>
    <col min="8" max="8" width="12.109375" style="26" bestFit="1" customWidth="1"/>
    <col min="9" max="10" width="9.109375" style="26" bestFit="1" customWidth="1"/>
  </cols>
  <sheetData>
    <row r="1" spans="1:10" s="2" customFormat="1" ht="18" customHeight="1" x14ac:dyDescent="0.3">
      <c r="A1" s="33" t="s">
        <v>278</v>
      </c>
      <c r="B1" s="33"/>
      <c r="C1" s="35"/>
      <c r="D1" s="35"/>
      <c r="E1" s="35"/>
      <c r="F1" s="35"/>
      <c r="G1" s="36"/>
      <c r="H1" s="36"/>
      <c r="I1" s="36"/>
      <c r="J1" s="36"/>
    </row>
    <row r="2" spans="1:10" s="2" customFormat="1" x14ac:dyDescent="0.3">
      <c r="A2" s="33" t="s">
        <v>0</v>
      </c>
      <c r="B2" s="33"/>
      <c r="C2" s="35"/>
      <c r="D2" s="35"/>
      <c r="E2" s="35"/>
      <c r="F2" s="35"/>
      <c r="G2" s="36"/>
      <c r="H2" s="36"/>
      <c r="I2" s="36"/>
      <c r="J2" s="36"/>
    </row>
    <row r="3" spans="1:10" s="2" customFormat="1" x14ac:dyDescent="0.3">
      <c r="A3" s="33" t="s">
        <v>9</v>
      </c>
      <c r="B3" s="33" t="s">
        <v>1</v>
      </c>
      <c r="C3" s="35" t="s">
        <v>2</v>
      </c>
      <c r="D3" s="35" t="s">
        <v>3</v>
      </c>
      <c r="E3" s="35" t="s">
        <v>51</v>
      </c>
      <c r="F3" s="35" t="s">
        <v>4</v>
      </c>
      <c r="G3" s="36" t="s">
        <v>5</v>
      </c>
      <c r="H3" s="36" t="s">
        <v>6</v>
      </c>
      <c r="I3" s="36" t="s">
        <v>7</v>
      </c>
      <c r="J3" s="36" t="s">
        <v>364</v>
      </c>
    </row>
    <row r="4" spans="1:10" s="2" customFormat="1" x14ac:dyDescent="0.3">
      <c r="A4" s="33"/>
      <c r="B4" s="33"/>
      <c r="C4" s="35"/>
      <c r="D4" s="35"/>
      <c r="E4" s="35"/>
      <c r="F4" s="35"/>
      <c r="G4" s="36"/>
      <c r="H4" s="36"/>
      <c r="I4" s="36"/>
      <c r="J4" s="36"/>
    </row>
    <row r="5" spans="1:10" s="2" customFormat="1" x14ac:dyDescent="0.3">
      <c r="A5" s="33" t="s">
        <v>272</v>
      </c>
      <c r="B5" s="33"/>
      <c r="C5" s="35"/>
      <c r="D5" s="35"/>
      <c r="E5" s="35"/>
      <c r="F5" s="35"/>
      <c r="G5" s="36"/>
      <c r="H5" s="36"/>
      <c r="I5" s="36"/>
      <c r="J5" s="36"/>
    </row>
    <row r="6" spans="1:10" x14ac:dyDescent="0.3">
      <c r="A6" s="34" t="s">
        <v>265</v>
      </c>
      <c r="C6" s="37">
        <v>568.23</v>
      </c>
      <c r="D6" s="37">
        <v>243.14</v>
      </c>
      <c r="E6" s="37">
        <v>84.24</v>
      </c>
      <c r="F6" s="37">
        <v>95.66</v>
      </c>
      <c r="G6" s="26">
        <f>G17*G23</f>
        <v>24.011225000000003</v>
      </c>
      <c r="H6" s="26">
        <f t="shared" ref="H6:J6" si="0">H17*H23</f>
        <v>24.011225000000003</v>
      </c>
      <c r="I6" s="26">
        <f t="shared" si="0"/>
        <v>24.011225000000003</v>
      </c>
      <c r="J6" s="26">
        <f t="shared" si="0"/>
        <v>24.011225000000003</v>
      </c>
    </row>
    <row r="7" spans="1:10" x14ac:dyDescent="0.3">
      <c r="A7" s="34" t="s">
        <v>266</v>
      </c>
      <c r="C7" s="75">
        <v>1020.83</v>
      </c>
      <c r="D7" s="75">
        <v>1152.9100000000001</v>
      </c>
      <c r="E7" s="75">
        <v>1511.36</v>
      </c>
      <c r="F7" s="75">
        <v>1824.71</v>
      </c>
      <c r="G7" s="26">
        <f>'Lease Schedule '!G26</f>
        <v>2939.2992249999998</v>
      </c>
      <c r="H7" s="26">
        <f>'Lease Schedule '!H26</f>
        <v>2759.2912964453021</v>
      </c>
      <c r="I7" s="26">
        <f>'Lease Schedule '!I26</f>
        <v>2626.9474192191055</v>
      </c>
      <c r="J7" s="26">
        <f>'Lease Schedule '!J26</f>
        <v>2532.2154882264845</v>
      </c>
    </row>
    <row r="8" spans="1:10" x14ac:dyDescent="0.3">
      <c r="A8" s="34" t="s">
        <v>267</v>
      </c>
      <c r="C8" s="37">
        <v>22.22</v>
      </c>
      <c r="D8" s="37">
        <v>8.51</v>
      </c>
      <c r="E8" s="37">
        <v>3.54</v>
      </c>
      <c r="F8" s="37">
        <v>6.51</v>
      </c>
      <c r="G8" s="26">
        <v>0</v>
      </c>
      <c r="H8" s="26">
        <v>0</v>
      </c>
      <c r="I8" s="26">
        <v>0</v>
      </c>
      <c r="J8" s="26">
        <v>0</v>
      </c>
    </row>
    <row r="9" spans="1:10" x14ac:dyDescent="0.3">
      <c r="A9" s="34" t="s">
        <v>268</v>
      </c>
      <c r="B9" s="34" t="s">
        <v>271</v>
      </c>
      <c r="C9" s="4">
        <v>0</v>
      </c>
      <c r="D9" s="4">
        <v>0</v>
      </c>
      <c r="E9" s="4">
        <v>0</v>
      </c>
      <c r="F9" s="37">
        <v>13.43</v>
      </c>
      <c r="G9" s="26">
        <v>0</v>
      </c>
      <c r="H9" s="26">
        <v>0</v>
      </c>
      <c r="I9" s="26">
        <v>0</v>
      </c>
      <c r="J9" s="26">
        <v>0</v>
      </c>
    </row>
    <row r="10" spans="1:10" x14ac:dyDescent="0.3">
      <c r="A10" s="34" t="s">
        <v>269</v>
      </c>
      <c r="B10" s="34" t="s">
        <v>270</v>
      </c>
      <c r="C10" s="37">
        <v>56</v>
      </c>
      <c r="D10" s="37">
        <v>11.5</v>
      </c>
      <c r="E10" s="37">
        <v>2.66</v>
      </c>
      <c r="F10" s="37">
        <v>3.53</v>
      </c>
      <c r="G10" s="26">
        <v>0</v>
      </c>
      <c r="H10" s="26">
        <v>0</v>
      </c>
      <c r="I10" s="26">
        <v>0</v>
      </c>
      <c r="J10" s="26">
        <v>0</v>
      </c>
    </row>
    <row r="11" spans="1:10" s="2" customFormat="1" x14ac:dyDescent="0.3">
      <c r="A11" s="33" t="s">
        <v>280</v>
      </c>
      <c r="B11" s="33"/>
      <c r="C11" s="67">
        <v>1667.28</v>
      </c>
      <c r="D11" s="67">
        <v>1416.06</v>
      </c>
      <c r="E11" s="67">
        <v>1601.8</v>
      </c>
      <c r="F11" s="67">
        <v>1943.84</v>
      </c>
      <c r="G11" s="66">
        <f>SUM(G6:G10)</f>
        <v>2963.3104499999999</v>
      </c>
      <c r="H11" s="66">
        <f t="shared" ref="H11:J11" si="1">SUM(H6:H10)</f>
        <v>2783.3025214453023</v>
      </c>
      <c r="I11" s="66">
        <f t="shared" si="1"/>
        <v>2650.9586442191057</v>
      </c>
      <c r="J11" s="66">
        <f t="shared" si="1"/>
        <v>2556.2267132264847</v>
      </c>
    </row>
    <row r="14" spans="1:10" x14ac:dyDescent="0.3">
      <c r="A14" s="34" t="s">
        <v>273</v>
      </c>
    </row>
    <row r="15" spans="1:10" x14ac:dyDescent="0.3">
      <c r="A15" s="34" t="str">
        <f>"Non Current " &amp; BS!A38</f>
        <v>Non Current Borrowings</v>
      </c>
      <c r="C15" s="37">
        <f>BS!C38</f>
        <v>2764.42</v>
      </c>
      <c r="D15" s="37">
        <f>BS!D38</f>
        <v>711.77</v>
      </c>
      <c r="E15" s="37">
        <f>BS!E38</f>
        <v>205.98</v>
      </c>
      <c r="F15" s="37">
        <v>12.55</v>
      </c>
      <c r="G15" s="86">
        <v>12.55</v>
      </c>
      <c r="H15" s="86">
        <v>12.55</v>
      </c>
      <c r="I15" s="86">
        <v>12.55</v>
      </c>
      <c r="J15" s="86">
        <v>12.55</v>
      </c>
    </row>
    <row r="16" spans="1:10" x14ac:dyDescent="0.3">
      <c r="A16" s="34" t="str">
        <f>"Current "&amp;BS!A44</f>
        <v>Current Borrowings</v>
      </c>
      <c r="C16" s="37">
        <f>BS!C44</f>
        <v>3177.81</v>
      </c>
      <c r="D16" s="37">
        <f>BS!D44</f>
        <v>87.25</v>
      </c>
      <c r="E16" s="37">
        <f>BS!E44</f>
        <v>463.87</v>
      </c>
      <c r="F16" s="37">
        <v>183.46</v>
      </c>
      <c r="G16" s="86">
        <v>183.46</v>
      </c>
      <c r="H16" s="86">
        <v>183.46</v>
      </c>
      <c r="I16" s="86">
        <v>183.46</v>
      </c>
      <c r="J16" s="86">
        <v>183.46</v>
      </c>
    </row>
    <row r="17" spans="1:10" x14ac:dyDescent="0.3">
      <c r="A17" s="34" t="s">
        <v>274</v>
      </c>
      <c r="C17" s="4">
        <f>SUM(C15:C16)</f>
        <v>5942.23</v>
      </c>
      <c r="D17" s="4">
        <f t="shared" ref="D17:J17" si="2">SUM(D15:D16)</f>
        <v>799.02</v>
      </c>
      <c r="E17" s="4">
        <f t="shared" si="2"/>
        <v>669.85</v>
      </c>
      <c r="F17" s="4">
        <f t="shared" si="2"/>
        <v>196.01000000000002</v>
      </c>
      <c r="G17" s="26">
        <f t="shared" si="2"/>
        <v>196.01000000000002</v>
      </c>
      <c r="H17" s="26">
        <f t="shared" si="2"/>
        <v>196.01000000000002</v>
      </c>
      <c r="I17" s="26">
        <f t="shared" si="2"/>
        <v>196.01000000000002</v>
      </c>
      <c r="J17" s="26">
        <f t="shared" si="2"/>
        <v>196.01000000000002</v>
      </c>
    </row>
    <row r="18" spans="1:10" x14ac:dyDescent="0.3">
      <c r="A18" s="34" t="str">
        <f>"Non Current " &amp;BS!A39</f>
        <v>Non Current Lease liabilities</v>
      </c>
      <c r="C18" s="4">
        <f>BS!C39</f>
        <v>7948.57</v>
      </c>
      <c r="D18" s="4">
        <f>BS!D39</f>
        <v>8916.7999999999993</v>
      </c>
      <c r="E18" s="4">
        <f>BS!E39</f>
        <v>11100.65</v>
      </c>
      <c r="F18" s="4">
        <f>BS!F39</f>
        <v>24496.61</v>
      </c>
      <c r="G18" s="26">
        <f>'Lease Schedule '!G32</f>
        <v>22881.927824180555</v>
      </c>
      <c r="H18" s="26">
        <f>'Lease Schedule '!H32</f>
        <v>21784.442013036485</v>
      </c>
      <c r="I18" s="26">
        <f>'Lease Schedule '!I32</f>
        <v>20998.860146268409</v>
      </c>
      <c r="J18" s="26">
        <f>'Lease Schedule '!J32</f>
        <v>26413.125573074318</v>
      </c>
    </row>
    <row r="19" spans="1:10" x14ac:dyDescent="0.3">
      <c r="A19" s="34" t="str">
        <f>"Current " &amp;BS!A45</f>
        <v>Current Lease liabilities</v>
      </c>
      <c r="C19" s="4">
        <f>BS!C45</f>
        <v>2238.4</v>
      </c>
      <c r="D19" s="4">
        <f>BS!D45</f>
        <v>2356.75</v>
      </c>
      <c r="E19" s="4">
        <f>BS!E45</f>
        <v>2731.21</v>
      </c>
      <c r="F19" s="4">
        <f>BS!F45</f>
        <v>4179.4799999999996</v>
      </c>
      <c r="G19" s="26">
        <f>'Lease Schedule '!G31</f>
        <v>4037.9872630906862</v>
      </c>
      <c r="H19" s="26">
        <f>'Lease Schedule '!H31</f>
        <v>3844.3132964182032</v>
      </c>
      <c r="I19" s="26">
        <f>'Lease Schedule '!I31</f>
        <v>3705.6812022826603</v>
      </c>
      <c r="J19" s="26">
        <f>'Lease Schedule '!J31</f>
        <v>4661.1398070131145</v>
      </c>
    </row>
    <row r="20" spans="1:10" x14ac:dyDescent="0.3">
      <c r="A20" s="34" t="s">
        <v>275</v>
      </c>
      <c r="C20" s="4">
        <f>SUM(C18:C19)</f>
        <v>10186.969999999999</v>
      </c>
      <c r="D20" s="4">
        <f t="shared" ref="D20:F20" si="3">SUM(D18:D19)</f>
        <v>11273.55</v>
      </c>
      <c r="E20" s="4">
        <f t="shared" si="3"/>
        <v>13831.86</v>
      </c>
      <c r="F20" s="4">
        <f t="shared" si="3"/>
        <v>28676.09</v>
      </c>
      <c r="G20" s="26">
        <f>'Lease Schedule '!G30</f>
        <v>26919.915087271242</v>
      </c>
      <c r="H20" s="26">
        <f>'Lease Schedule '!H30</f>
        <v>25628.755309454689</v>
      </c>
      <c r="I20" s="26">
        <f>'Lease Schedule '!I30</f>
        <v>24704.541348551069</v>
      </c>
      <c r="J20" s="26">
        <f>'Lease Schedule '!J30</f>
        <v>31074.265380087432</v>
      </c>
    </row>
    <row r="21" spans="1:10" x14ac:dyDescent="0.3">
      <c r="A21" s="34" t="s">
        <v>276</v>
      </c>
      <c r="C21" s="4">
        <f>C17+C20</f>
        <v>16129.199999999999</v>
      </c>
      <c r="D21" s="4">
        <f t="shared" ref="D21:F21" si="4">D17+D20</f>
        <v>12072.57</v>
      </c>
      <c r="E21" s="4">
        <f t="shared" si="4"/>
        <v>14501.710000000001</v>
      </c>
      <c r="F21" s="4">
        <f t="shared" si="4"/>
        <v>28872.1</v>
      </c>
      <c r="G21" s="26">
        <f t="shared" ref="G21" si="5">G17+G20</f>
        <v>27115.92508727124</v>
      </c>
      <c r="H21" s="26">
        <f t="shared" ref="H21" si="6">H17+H20</f>
        <v>25824.765309454688</v>
      </c>
      <c r="I21" s="26">
        <f t="shared" ref="I21" si="7">I17+I20</f>
        <v>24900.551348551067</v>
      </c>
      <c r="J21" s="26">
        <f t="shared" ref="J21" si="8">J17+J20</f>
        <v>31270.275380087431</v>
      </c>
    </row>
    <row r="23" spans="1:10" x14ac:dyDescent="0.3">
      <c r="A23" s="34" t="s">
        <v>277</v>
      </c>
      <c r="C23" s="4" t="s">
        <v>11</v>
      </c>
      <c r="D23" s="24">
        <f>D6/C17</f>
        <v>4.0917298724552902E-2</v>
      </c>
      <c r="E23" s="24">
        <f t="shared" ref="E23" si="9">E6/D17</f>
        <v>0.10542915070961928</v>
      </c>
      <c r="F23" s="24">
        <f>F6/E17</f>
        <v>0.14280809136373815</v>
      </c>
      <c r="G23" s="27">
        <f>Assumption!G68</f>
        <v>0.1225</v>
      </c>
      <c r="H23" s="27">
        <f>Assumption!H68</f>
        <v>0.1225</v>
      </c>
      <c r="I23" s="27">
        <f>Assumption!I68</f>
        <v>0.1225</v>
      </c>
      <c r="J23" s="27">
        <f>Assumption!J68</f>
        <v>0.1225</v>
      </c>
    </row>
    <row r="24" spans="1:10" x14ac:dyDescent="0.3">
      <c r="D24" s="54"/>
      <c r="E24" s="54"/>
      <c r="F24" s="54"/>
    </row>
  </sheetData>
  <sheetProtection algorithmName="SHA-512" hashValue="Hsby6K4PeZ2txDN83QKv2vT4TdvABBdK1P5HQjIA/OoMY0fUDaLbpuPyAVAfWLHyd15/SPS1ip8HzX8bOx1AtQ==" saltValue="vMxESM15mAGh4qVxKxNQtQ=="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CFCA-07BF-4944-BC74-54A5AAA09A51}">
  <dimension ref="A1:F65"/>
  <sheetViews>
    <sheetView showGridLines="0" zoomScale="91" zoomScaleNormal="106" workbookViewId="0">
      <selection activeCell="G13" sqref="G13"/>
    </sheetView>
  </sheetViews>
  <sheetFormatPr defaultRowHeight="14.4" x14ac:dyDescent="0.3"/>
  <cols>
    <col min="1" max="1" width="21.5546875" bestFit="1" customWidth="1"/>
    <col min="2" max="4" width="12.44140625" bestFit="1" customWidth="1"/>
  </cols>
  <sheetData>
    <row r="1" spans="1:6" x14ac:dyDescent="0.3">
      <c r="A1" t="s">
        <v>118</v>
      </c>
    </row>
    <row r="2" spans="1:6" x14ac:dyDescent="0.3">
      <c r="A2" t="s">
        <v>127</v>
      </c>
    </row>
    <row r="3" spans="1:6" x14ac:dyDescent="0.3">
      <c r="A3" t="s">
        <v>128</v>
      </c>
    </row>
    <row r="4" spans="1:6" x14ac:dyDescent="0.3">
      <c r="A4" t="s">
        <v>129</v>
      </c>
    </row>
    <row r="5" spans="1:6" x14ac:dyDescent="0.3">
      <c r="A5" t="s">
        <v>130</v>
      </c>
    </row>
    <row r="6" spans="1:6" x14ac:dyDescent="0.3">
      <c r="A6" t="s">
        <v>133</v>
      </c>
      <c r="B6" t="s">
        <v>119</v>
      </c>
    </row>
    <row r="7" spans="1:6" x14ac:dyDescent="0.3">
      <c r="B7" t="s">
        <v>120</v>
      </c>
    </row>
    <row r="10" spans="1:6" x14ac:dyDescent="0.3">
      <c r="A10" s="10" t="s">
        <v>9</v>
      </c>
      <c r="B10" s="11">
        <v>2022</v>
      </c>
      <c r="C10" s="11">
        <v>2023</v>
      </c>
      <c r="D10" s="11">
        <v>2024</v>
      </c>
      <c r="E10" s="11">
        <v>2025</v>
      </c>
    </row>
    <row r="11" spans="1:6" x14ac:dyDescent="0.3">
      <c r="A11" s="10" t="s">
        <v>121</v>
      </c>
      <c r="B11" s="12">
        <v>1.49</v>
      </c>
      <c r="C11" s="12">
        <v>1.59</v>
      </c>
      <c r="D11" s="12">
        <v>1.89</v>
      </c>
      <c r="E11" s="13">
        <v>2.04</v>
      </c>
    </row>
    <row r="12" spans="1:6" x14ac:dyDescent="0.3">
      <c r="A12" s="10" t="s">
        <v>122</v>
      </c>
      <c r="B12" s="12">
        <v>50</v>
      </c>
      <c r="C12" s="12">
        <v>56</v>
      </c>
      <c r="D12" s="12">
        <v>63</v>
      </c>
      <c r="E12" s="13">
        <v>73</v>
      </c>
    </row>
    <row r="13" spans="1:6" x14ac:dyDescent="0.3">
      <c r="A13" s="10" t="s">
        <v>134</v>
      </c>
      <c r="B13" s="12"/>
      <c r="C13" s="22">
        <v>0.3</v>
      </c>
      <c r="D13" s="14">
        <v>0.16</v>
      </c>
      <c r="E13" s="15">
        <v>0.17399999999999999</v>
      </c>
    </row>
    <row r="14" spans="1:6" x14ac:dyDescent="0.3">
      <c r="A14" s="10" t="s">
        <v>150</v>
      </c>
      <c r="B14" s="16">
        <v>222.8</v>
      </c>
      <c r="C14" s="16">
        <v>283.89999999999998</v>
      </c>
      <c r="D14" s="16">
        <v>358.6</v>
      </c>
      <c r="E14" s="17">
        <v>492</v>
      </c>
      <c r="F14" s="23"/>
    </row>
    <row r="15" spans="1:6" x14ac:dyDescent="0.3">
      <c r="A15" s="10" t="s">
        <v>151</v>
      </c>
      <c r="B15" s="18">
        <v>2277000</v>
      </c>
      <c r="C15" s="18">
        <v>2364300</v>
      </c>
      <c r="D15" s="18">
        <v>2140500</v>
      </c>
      <c r="E15" s="10"/>
    </row>
    <row r="16" spans="1:6" x14ac:dyDescent="0.3">
      <c r="B16" s="18"/>
      <c r="C16" s="18"/>
      <c r="D16" s="19"/>
      <c r="E16" s="19"/>
    </row>
    <row r="17" spans="1:5" x14ac:dyDescent="0.3">
      <c r="A17" s="9" t="s">
        <v>123</v>
      </c>
      <c r="E17" s="8"/>
    </row>
    <row r="18" spans="1:5" x14ac:dyDescent="0.3">
      <c r="A18" s="9" t="s">
        <v>131</v>
      </c>
      <c r="E18" s="8"/>
    </row>
    <row r="20" spans="1:5" x14ac:dyDescent="0.3">
      <c r="A20" t="s">
        <v>178</v>
      </c>
    </row>
    <row r="37" spans="1:2" ht="21" x14ac:dyDescent="0.55000000000000004">
      <c r="A37" s="20" t="s">
        <v>136</v>
      </c>
      <c r="B37" s="21" t="s">
        <v>137</v>
      </c>
    </row>
    <row r="38" spans="1:2" ht="21" x14ac:dyDescent="0.55000000000000004">
      <c r="A38" s="20"/>
      <c r="B38" s="21"/>
    </row>
    <row r="39" spans="1:2" ht="21" x14ac:dyDescent="0.55000000000000004">
      <c r="A39" s="20"/>
      <c r="B39" s="21"/>
    </row>
    <row r="40" spans="1:2" ht="21" x14ac:dyDescent="0.55000000000000004">
      <c r="A40" s="20"/>
      <c r="B40" s="21"/>
    </row>
    <row r="41" spans="1:2" ht="21" x14ac:dyDescent="0.55000000000000004">
      <c r="A41" s="20"/>
      <c r="B41" s="21"/>
    </row>
    <row r="42" spans="1:2" ht="21" x14ac:dyDescent="0.55000000000000004">
      <c r="A42" s="20"/>
      <c r="B42" s="21"/>
    </row>
    <row r="43" spans="1:2" ht="21" x14ac:dyDescent="0.55000000000000004">
      <c r="A43" s="20"/>
      <c r="B43" s="21"/>
    </row>
    <row r="44" spans="1:2" x14ac:dyDescent="0.3">
      <c r="A44" t="s">
        <v>135</v>
      </c>
      <c r="B44" t="s">
        <v>138</v>
      </c>
    </row>
    <row r="45" spans="1:2" x14ac:dyDescent="0.3">
      <c r="B45" t="s">
        <v>147</v>
      </c>
    </row>
    <row r="46" spans="1:2" x14ac:dyDescent="0.3">
      <c r="B46" t="s">
        <v>141</v>
      </c>
    </row>
    <row r="47" spans="1:2" x14ac:dyDescent="0.3">
      <c r="B47" t="s">
        <v>139</v>
      </c>
    </row>
    <row r="48" spans="1:2" x14ac:dyDescent="0.3">
      <c r="B48" t="s">
        <v>140</v>
      </c>
    </row>
    <row r="49" spans="1:2" x14ac:dyDescent="0.3">
      <c r="B49" t="s">
        <v>142</v>
      </c>
    </row>
    <row r="50" spans="1:2" x14ac:dyDescent="0.3">
      <c r="B50" s="2" t="s">
        <v>143</v>
      </c>
    </row>
    <row r="51" spans="1:2" x14ac:dyDescent="0.3">
      <c r="B51" t="s">
        <v>144</v>
      </c>
    </row>
    <row r="52" spans="1:2" x14ac:dyDescent="0.3">
      <c r="B52" t="s">
        <v>145</v>
      </c>
    </row>
    <row r="53" spans="1:2" x14ac:dyDescent="0.3">
      <c r="B53" t="s">
        <v>146</v>
      </c>
    </row>
    <row r="59" spans="1:2" x14ac:dyDescent="0.3">
      <c r="A59" t="s">
        <v>124</v>
      </c>
      <c r="B59" t="s">
        <v>132</v>
      </c>
    </row>
    <row r="60" spans="1:2" x14ac:dyDescent="0.3">
      <c r="B60" t="s">
        <v>125</v>
      </c>
    </row>
    <row r="61" spans="1:2" x14ac:dyDescent="0.3">
      <c r="B61" t="s">
        <v>126</v>
      </c>
    </row>
    <row r="62" spans="1:2" x14ac:dyDescent="0.3">
      <c r="B62" t="s">
        <v>148</v>
      </c>
    </row>
    <row r="65" spans="1:2" x14ac:dyDescent="0.3">
      <c r="A65" t="s">
        <v>149</v>
      </c>
      <c r="B65" t="s">
        <v>165</v>
      </c>
    </row>
  </sheetData>
  <sheetProtection algorithmName="SHA-512" hashValue="SZSLrKOjytmmpS5D876K/QgMR2d8RUlMaYnPq4SOWR044HIP5e3tC9wPSCBh7nS8TfYZTrGmVnwTxr0MggGxDA==" saltValue="kSMfEmpw1dvhODTHBDSF9g==" spinCount="100000" sheet="1" objects="1" scenarios="1"/>
  <hyperlinks>
    <hyperlink ref="A37" r:id="rId1" xr:uid="{80900B1D-A9F0-4722-BA91-E3741CEF4BFA}"/>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8065-3F7F-4F56-BB77-C6F9EEE9F264}">
  <dimension ref="A1:J3"/>
  <sheetViews>
    <sheetView showGridLines="0" workbookViewId="0">
      <pane xSplit="2" ySplit="3" topLeftCell="C4" activePane="bottomRight" state="frozen"/>
      <selection pane="topRight" activeCell="C1" sqref="C1"/>
      <selection pane="bottomLeft" activeCell="A4" sqref="A4"/>
      <selection pane="bottomRight" activeCell="K23" sqref="K23"/>
    </sheetView>
  </sheetViews>
  <sheetFormatPr defaultRowHeight="14.4" x14ac:dyDescent="0.3"/>
  <cols>
    <col min="1" max="1" width="14.5546875" style="1" bestFit="1" customWidth="1"/>
    <col min="2" max="2" width="9.77734375" style="1" bestFit="1" customWidth="1"/>
    <col min="3" max="3" width="10.6640625" style="4" bestFit="1" customWidth="1"/>
    <col min="4" max="6" width="8.88671875" style="4"/>
    <col min="7" max="7" width="8.88671875" style="26"/>
    <col min="8" max="8" width="9" style="26" bestFit="1" customWidth="1"/>
    <col min="9" max="10" width="8.88671875" style="26"/>
  </cols>
  <sheetData>
    <row r="1" spans="1:10" s="2" customFormat="1" ht="18" customHeight="1" x14ac:dyDescent="0.3">
      <c r="A1" s="2" t="s">
        <v>8</v>
      </c>
      <c r="G1" s="89"/>
      <c r="H1" s="89"/>
      <c r="I1" s="89"/>
      <c r="J1" s="89"/>
    </row>
    <row r="2" spans="1:10" s="2" customFormat="1" x14ac:dyDescent="0.3">
      <c r="A2" s="2" t="s">
        <v>0</v>
      </c>
      <c r="G2" s="89"/>
      <c r="H2" s="89"/>
      <c r="I2" s="89"/>
      <c r="J2" s="89"/>
    </row>
    <row r="3" spans="1:10" s="2" customFormat="1" x14ac:dyDescent="0.3">
      <c r="A3" s="2" t="s">
        <v>9</v>
      </c>
      <c r="B3" s="2" t="s">
        <v>1</v>
      </c>
      <c r="C3" s="2" t="s">
        <v>2</v>
      </c>
      <c r="D3" s="2" t="s">
        <v>3</v>
      </c>
      <c r="E3" s="2" t="s">
        <v>51</v>
      </c>
      <c r="F3" s="2" t="s">
        <v>4</v>
      </c>
      <c r="G3" s="89" t="s">
        <v>5</v>
      </c>
      <c r="H3" s="89" t="s">
        <v>6</v>
      </c>
      <c r="I3" s="89" t="s">
        <v>7</v>
      </c>
      <c r="J3" s="36" t="s">
        <v>364</v>
      </c>
    </row>
  </sheetData>
  <sheetProtection algorithmName="SHA-512" hashValue="Ns35RHXohT2VQzlHJMIv363Nw3w15JmJicZJg0lD5fXWkE7YCVTEqQEl6uHiEpcbL/44W+WmHM9k8tZytYUC3g==" saltValue="Vw1+JmFAMGxSpDPT6aSIw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Assumption</vt:lpstr>
      <vt:lpstr>Valuation</vt:lpstr>
      <vt:lpstr>Scenario Analysis</vt:lpstr>
      <vt:lpstr>BS</vt:lpstr>
      <vt:lpstr>IS</vt:lpstr>
      <vt:lpstr>CF</vt:lpstr>
      <vt:lpstr>Revenue Model</vt:lpstr>
      <vt:lpstr>Cost Model</vt:lpstr>
      <vt:lpstr>Capex Schedule</vt:lpstr>
      <vt:lpstr>WC Schedule</vt:lpstr>
      <vt:lpstr>Lease Schedule </vt:lpstr>
      <vt:lpstr>Debt Schedule </vt:lpstr>
      <vt:lpstr>Notes</vt:lpstr>
      <vt:lpstr>Template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Sanidhya Ekhar</dc:creator>
  <cp:lastModifiedBy>Sanidhya Ekhar</cp:lastModifiedBy>
  <cp:lastPrinted>2026-03-14T21:09:26Z</cp:lastPrinted>
  <dcterms:created xsi:type="dcterms:W3CDTF">2026-03-11T09:17:00Z</dcterms:created>
  <dcterms:modified xsi:type="dcterms:W3CDTF">2026-03-18T18:05:24Z</dcterms:modified>
</cp:coreProperties>
</file>